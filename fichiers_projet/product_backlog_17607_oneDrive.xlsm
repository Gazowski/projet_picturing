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3" activeTab="4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'Sp2'!$A$14:$AD$63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'Sp2'!$D$14:$D$58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'Sp2'!$B$14:$B$53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64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F29" i="22"/>
  <c r="D29" i="22"/>
  <c r="F28" i="22"/>
  <c r="D28" i="22"/>
  <c r="F27" i="22"/>
  <c r="D27" i="22"/>
  <c r="F26" i="22"/>
  <c r="D26" i="22"/>
  <c r="F25" i="22"/>
  <c r="D25" i="22"/>
  <c r="F24" i="22"/>
  <c r="D24" i="22"/>
  <c r="F23" i="22"/>
  <c r="D23" i="22"/>
  <c r="F22" i="22"/>
  <c r="D22" i="22"/>
  <c r="F21" i="22"/>
  <c r="D21" i="22"/>
  <c r="F20" i="22"/>
  <c r="D20" i="22"/>
  <c r="F19" i="22"/>
  <c r="D19" i="22"/>
  <c r="F18" i="22"/>
  <c r="D18" i="22"/>
  <c r="F17" i="22"/>
  <c r="D17" i="22"/>
  <c r="F16" i="22"/>
  <c r="D16" i="22"/>
  <c r="F15" i="22"/>
  <c r="D15" i="22"/>
  <c r="F37" i="22"/>
  <c r="F36" i="22"/>
  <c r="G14" i="22"/>
  <c r="B11" i="22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D26" i="19"/>
  <c r="F26" i="19"/>
  <c r="D30" i="19"/>
  <c r="F30" i="19"/>
  <c r="D31" i="19"/>
  <c r="F31" i="19"/>
  <c r="D32" i="19"/>
  <c r="F32" i="19"/>
  <c r="D33" i="19"/>
  <c r="F33" i="19"/>
  <c r="D34" i="19"/>
  <c r="F34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H14" i="22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G35" i="22"/>
  <c r="N43" i="20"/>
  <c r="N34" i="20"/>
  <c r="Q10" i="16"/>
  <c r="U10" i="22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34" i="22"/>
  <c r="D22" i="7"/>
  <c r="H35" i="22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2"/>
  <c r="G10" i="22"/>
  <c r="Z10" i="22"/>
  <c r="J10" i="22"/>
  <c r="V10" i="22"/>
  <c r="H10" i="22"/>
  <c r="R10" i="22"/>
  <c r="E10" i="22"/>
  <c r="F11" i="22" s="1"/>
  <c r="AB10" i="22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M10" i="22"/>
  <c r="N33" i="20"/>
  <c r="Z10" i="23"/>
  <c r="R10" i="23"/>
  <c r="V10" i="23"/>
  <c r="N29" i="20"/>
  <c r="T10" i="22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22"/>
  <c r="O10" i="22"/>
  <c r="Y10" i="22"/>
  <c r="L10" i="22"/>
  <c r="Q10" i="22"/>
  <c r="P10" i="22"/>
  <c r="S10" i="22"/>
  <c r="K10" i="22"/>
  <c r="N10" i="22"/>
  <c r="I10" i="22"/>
  <c r="AA10" i="22"/>
  <c r="W10" i="16"/>
  <c r="H10" i="16"/>
  <c r="H34" i="22"/>
  <c r="I14" i="22"/>
  <c r="I34" i="22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J14" i="22"/>
  <c r="K14" i="22"/>
  <c r="K34" i="22"/>
  <c r="I35" i="22"/>
  <c r="J34" i="22"/>
  <c r="J35" i="22"/>
  <c r="A24" i="7"/>
  <c r="E24" i="7"/>
  <c r="K35" i="22"/>
  <c r="L14" i="22"/>
  <c r="M14" i="22"/>
  <c r="M34" i="22"/>
  <c r="L11" i="22"/>
  <c r="L35" i="22"/>
  <c r="M35" i="22"/>
  <c r="M11" i="22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H34" i="19"/>
  <c r="G34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N14" i="22"/>
  <c r="L34" i="22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N34" i="22"/>
  <c r="N35" i="22"/>
  <c r="N11" i="22"/>
  <c r="O14" i="22"/>
  <c r="K11" i="23"/>
  <c r="L14" i="23"/>
  <c r="K54" i="23"/>
  <c r="K55" i="23"/>
  <c r="O35" i="22"/>
  <c r="O11" i="22"/>
  <c r="O34" i="22"/>
  <c r="P14" i="22"/>
  <c r="E31" i="20"/>
  <c r="I31" i="20"/>
  <c r="H31" i="20"/>
  <c r="F31" i="20"/>
  <c r="B32" i="20"/>
  <c r="I34" i="19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P11" i="22"/>
  <c r="P34" i="22"/>
  <c r="P35" i="22"/>
  <c r="Q14" i="22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Q35" i="22"/>
  <c r="Q11" i="22"/>
  <c r="Q34" i="22"/>
  <c r="R14" i="22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R11" i="22"/>
  <c r="R34" i="22"/>
  <c r="R35" i="22"/>
  <c r="S14" i="22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S34" i="22"/>
  <c r="S11" i="22"/>
  <c r="S35" i="22"/>
  <c r="T14" i="22"/>
  <c r="G35" i="20"/>
  <c r="K35" i="20"/>
  <c r="B37" i="20"/>
  <c r="E36" i="20"/>
  <c r="F36" i="20"/>
  <c r="I36" i="20"/>
  <c r="H36" i="20"/>
  <c r="Q14" i="16"/>
  <c r="P11" i="16"/>
  <c r="P58" i="16"/>
  <c r="P59" i="16"/>
  <c r="T11" i="22"/>
  <c r="U14" i="22"/>
  <c r="T35" i="22"/>
  <c r="T34" i="22"/>
  <c r="P11" i="23"/>
  <c r="Q14" i="23"/>
  <c r="P54" i="23"/>
  <c r="P55" i="23"/>
  <c r="U11" i="22"/>
  <c r="U34" i="22"/>
  <c r="V14" i="22"/>
  <c r="U35" i="22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W14" i="22"/>
  <c r="V34" i="22"/>
  <c r="V35" i="22"/>
  <c r="V11" i="22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W11" i="22"/>
  <c r="W35" i="22"/>
  <c r="W34" i="22"/>
  <c r="X14" i="22"/>
  <c r="E40" i="20"/>
  <c r="F40" i="20"/>
  <c r="I40" i="20"/>
  <c r="H40" i="20"/>
  <c r="B41" i="20"/>
  <c r="X34" i="22"/>
  <c r="X11" i="22"/>
  <c r="X35" i="22"/>
  <c r="Y14" i="22"/>
  <c r="T59" i="16"/>
  <c r="T11" i="16"/>
  <c r="T58" i="16"/>
  <c r="U14" i="16"/>
  <c r="T55" i="23"/>
  <c r="T54" i="23"/>
  <c r="U14" i="23"/>
  <c r="T11" i="23"/>
  <c r="K39" i="20"/>
  <c r="G39" i="20"/>
  <c r="Y35" i="22"/>
  <c r="Y11" i="22"/>
  <c r="Y34" i="22"/>
  <c r="Z14" i="22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AA14" i="22"/>
  <c r="Z34" i="22"/>
  <c r="Z35" i="22"/>
  <c r="Z11" i="22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AA35" i="22"/>
  <c r="AA11" i="22"/>
  <c r="AB14" i="22"/>
  <c r="AA34" i="22"/>
  <c r="W54" i="23"/>
  <c r="W11" i="23"/>
  <c r="W55" i="23"/>
  <c r="X14" i="23"/>
  <c r="G42" i="20"/>
  <c r="K42" i="20"/>
  <c r="X58" i="16"/>
  <c r="Y14" i="16"/>
  <c r="X11" i="16"/>
  <c r="X59" i="16"/>
  <c r="AC14" i="22"/>
  <c r="AB35" i="22"/>
  <c r="AB11" i="22"/>
  <c r="AB34" i="22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AC40" i="22"/>
  <c r="AC58" i="22"/>
  <c r="AC38" i="22"/>
  <c r="AC20" i="22"/>
  <c r="AC45" i="22"/>
  <c r="AC16" i="22"/>
  <c r="AC29" i="22"/>
  <c r="AC49" i="22"/>
  <c r="AC18" i="22"/>
  <c r="AC56" i="22"/>
  <c r="AC24" i="22"/>
  <c r="AC37" i="22"/>
  <c r="AC23" i="22"/>
  <c r="AC50" i="22"/>
  <c r="AC11" i="22"/>
  <c r="AC39" i="22"/>
  <c r="AC44" i="22"/>
  <c r="AC34" i="22"/>
  <c r="AC57" i="22"/>
  <c r="AC53" i="22"/>
  <c r="AC42" i="22"/>
  <c r="AC19" i="22"/>
  <c r="AC35" i="22"/>
  <c r="AC51" i="22"/>
  <c r="AC41" i="22"/>
  <c r="AC59" i="22"/>
  <c r="AC55" i="22"/>
  <c r="AC52" i="22"/>
  <c r="AC15" i="22"/>
  <c r="AC10" i="22"/>
  <c r="AC22" i="22"/>
  <c r="AC25" i="22"/>
  <c r="AC27" i="22"/>
  <c r="AC17" i="22"/>
  <c r="AC33" i="22"/>
  <c r="AC47" i="22"/>
  <c r="AC46" i="22"/>
  <c r="AC31" i="22"/>
  <c r="AC48" i="22"/>
  <c r="AC54" i="22"/>
  <c r="AC21" i="22"/>
  <c r="AC30" i="22"/>
  <c r="AC28" i="22"/>
  <c r="AC43" i="22"/>
  <c r="AC32" i="22"/>
  <c r="AD14" i="22"/>
  <c r="AC26" i="22"/>
  <c r="AD56" i="22"/>
  <c r="AD27" i="22"/>
  <c r="AD50" i="22"/>
  <c r="AD31" i="22"/>
  <c r="AD59" i="22"/>
  <c r="AD22" i="22"/>
  <c r="AD32" i="22"/>
  <c r="AD16" i="22"/>
  <c r="AD33" i="22"/>
  <c r="AD53" i="22"/>
  <c r="AD35" i="22"/>
  <c r="AD46" i="22"/>
  <c r="AD42" i="22"/>
  <c r="AD17" i="22"/>
  <c r="AD26" i="22"/>
  <c r="AD58" i="22"/>
  <c r="AD30" i="22"/>
  <c r="AD54" i="22"/>
  <c r="AD20" i="22"/>
  <c r="AD49" i="22"/>
  <c r="AD41" i="22"/>
  <c r="AD37" i="22"/>
  <c r="AD18" i="22"/>
  <c r="AD47" i="22"/>
  <c r="AD44" i="22"/>
  <c r="AD55" i="22"/>
  <c r="AD19" i="22"/>
  <c r="AD21" i="22"/>
  <c r="AD51" i="22"/>
  <c r="AD25" i="22"/>
  <c r="AD52" i="22"/>
  <c r="AD28" i="22"/>
  <c r="AD45" i="22"/>
  <c r="AD15" i="22"/>
  <c r="AD10" i="22"/>
  <c r="AD57" i="22"/>
  <c r="AD24" i="22"/>
  <c r="AD48" i="22"/>
  <c r="AD38" i="22"/>
  <c r="AD39" i="22"/>
  <c r="AD43" i="22"/>
  <c r="AD40" i="22"/>
  <c r="AD11" i="22"/>
  <c r="AD34" i="22"/>
  <c r="AD23" i="22"/>
  <c r="AD29" i="22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H10" i="19" s="1"/>
  <c r="G10" i="19"/>
  <c r="I33" i="19"/>
  <c r="I10" i="19" s="1"/>
  <c r="F10" i="19"/>
  <c r="G11" i="24" l="1"/>
  <c r="H11" i="22"/>
  <c r="G11" i="22"/>
  <c r="K11" i="22"/>
  <c r="J11" i="22"/>
  <c r="F11" i="24"/>
  <c r="O40" i="20"/>
  <c r="O39" i="20"/>
  <c r="O33" i="20"/>
  <c r="O38" i="20"/>
  <c r="D11" i="22"/>
  <c r="F13" i="22" s="1"/>
  <c r="I11" i="22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D13" i="22"/>
  <c r="Q12" i="22" s="1"/>
  <c r="H11" i="19"/>
  <c r="Q44" i="20"/>
  <c r="F13" i="16"/>
  <c r="H12" i="16" s="1"/>
  <c r="I11" i="19"/>
  <c r="J11" i="19"/>
  <c r="F11" i="19"/>
  <c r="L36" i="20"/>
  <c r="L45" i="20"/>
  <c r="L32" i="20"/>
  <c r="L47" i="20"/>
  <c r="L50" i="20"/>
  <c r="L44" i="20"/>
  <c r="L39" i="20"/>
  <c r="L51" i="20"/>
  <c r="L37" i="20"/>
  <c r="M37" i="20" s="1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8" i="20" l="1"/>
  <c r="W12" i="16"/>
  <c r="L14" i="19"/>
  <c r="K34" i="19"/>
  <c r="K33" i="19"/>
  <c r="K10" i="19" s="1"/>
  <c r="P12" i="16"/>
  <c r="L12" i="16"/>
  <c r="AA12" i="16"/>
  <c r="Z12" i="16"/>
  <c r="O12" i="22"/>
  <c r="S12" i="22"/>
  <c r="N12" i="16"/>
  <c r="D13" i="23"/>
  <c r="Y12" i="23" s="1"/>
  <c r="M12" i="16"/>
  <c r="U12" i="22"/>
  <c r="M33" i="20"/>
  <c r="V12" i="22"/>
  <c r="AB12" i="16"/>
  <c r="AC12" i="22"/>
  <c r="S12" i="16"/>
  <c r="M40" i="20"/>
  <c r="M49" i="20"/>
  <c r="M12" i="22"/>
  <c r="X12" i="16"/>
  <c r="Q12" i="16"/>
  <c r="J12" i="16"/>
  <c r="H12" i="22"/>
  <c r="J12" i="22"/>
  <c r="Y12" i="16"/>
  <c r="V12" i="16"/>
  <c r="G12" i="22"/>
  <c r="P12" i="22"/>
  <c r="M42" i="20"/>
  <c r="M48" i="20"/>
  <c r="M34" i="20"/>
  <c r="Y12" i="22"/>
  <c r="R12" i="22"/>
  <c r="Z12" i="22"/>
  <c r="AB12" i="22"/>
  <c r="N12" i="22"/>
  <c r="I12" i="16"/>
  <c r="M43" i="20"/>
  <c r="M51" i="20"/>
  <c r="AD12" i="22"/>
  <c r="K12" i="22"/>
  <c r="I12" i="22"/>
  <c r="X12" i="22"/>
  <c r="F12" i="22"/>
  <c r="L12" i="22"/>
  <c r="W12" i="22"/>
  <c r="U12" i="16"/>
  <c r="AC12" i="16"/>
  <c r="O12" i="16"/>
  <c r="AA12" i="22"/>
  <c r="G12" i="16"/>
  <c r="AD12" i="16"/>
  <c r="M35" i="20"/>
  <c r="M30" i="20"/>
  <c r="M46" i="20"/>
  <c r="T12" i="22"/>
  <c r="T12" i="16"/>
  <c r="K12" i="16"/>
  <c r="R12" i="16"/>
  <c r="F12" i="16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X12" i="23" l="1"/>
  <c r="H12" i="23"/>
  <c r="N12" i="23"/>
  <c r="I12" i="23"/>
  <c r="K12" i="23"/>
  <c r="O12" i="23"/>
  <c r="L34" i="19"/>
  <c r="L33" i="19"/>
  <c r="L10" i="19" s="1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M11" i="19" l="1"/>
  <c r="N14" i="19"/>
  <c r="M34" i="19"/>
  <c r="M33" i="19"/>
  <c r="M10" i="19" s="1"/>
  <c r="K59" i="24"/>
  <c r="L14" i="24"/>
  <c r="K11" i="24"/>
  <c r="K58" i="24"/>
  <c r="N34" i="19" l="1"/>
  <c r="O14" i="19"/>
  <c r="N33" i="19"/>
  <c r="N10" i="19" s="1"/>
  <c r="N11" i="19"/>
  <c r="M14" i="24"/>
  <c r="L11" i="24"/>
  <c r="L58" i="24"/>
  <c r="L59" i="24"/>
  <c r="P14" i="19" l="1"/>
  <c r="O34" i="19"/>
  <c r="O10" i="19" s="1"/>
  <c r="O33" i="19"/>
  <c r="O11" i="19"/>
  <c r="M58" i="24"/>
  <c r="M59" i="24"/>
  <c r="M11" i="24"/>
  <c r="N14" i="24"/>
  <c r="P33" i="19" l="1"/>
  <c r="P34" i="19"/>
  <c r="P11" i="19"/>
  <c r="Q14" i="19"/>
  <c r="N59" i="24"/>
  <c r="O14" i="24"/>
  <c r="N11" i="24"/>
  <c r="N58" i="24"/>
  <c r="Q11" i="19" l="1"/>
  <c r="Q34" i="19"/>
  <c r="Q33" i="19"/>
  <c r="Q10" i="19" s="1"/>
  <c r="R14" i="19"/>
  <c r="P10" i="19"/>
  <c r="O59" i="24"/>
  <c r="P14" i="24"/>
  <c r="O11" i="24"/>
  <c r="O58" i="24"/>
  <c r="S14" i="19" l="1"/>
  <c r="R34" i="19"/>
  <c r="R11" i="19"/>
  <c r="R33" i="19"/>
  <c r="R10" i="19" s="1"/>
  <c r="Q14" i="24"/>
  <c r="P11" i="24"/>
  <c r="P58" i="24"/>
  <c r="P59" i="24"/>
  <c r="S33" i="19" l="1"/>
  <c r="S11" i="19"/>
  <c r="S34" i="19"/>
  <c r="T14" i="19"/>
  <c r="Q58" i="24"/>
  <c r="Q59" i="24"/>
  <c r="R14" i="24"/>
  <c r="Q11" i="24"/>
  <c r="T34" i="19" l="1"/>
  <c r="T11" i="19"/>
  <c r="T33" i="19"/>
  <c r="U14" i="19"/>
  <c r="S10" i="19"/>
  <c r="R59" i="24"/>
  <c r="S14" i="24"/>
  <c r="R11" i="24"/>
  <c r="R58" i="24"/>
  <c r="U11" i="19" l="1"/>
  <c r="U33" i="19"/>
  <c r="U10" i="19" s="1"/>
  <c r="U34" i="19"/>
  <c r="V14" i="19"/>
  <c r="T10" i="19"/>
  <c r="S59" i="24"/>
  <c r="T14" i="24"/>
  <c r="S11" i="24"/>
  <c r="S58" i="24"/>
  <c r="V33" i="19" l="1"/>
  <c r="V11" i="19"/>
  <c r="V34" i="19"/>
  <c r="V10" i="19" s="1"/>
  <c r="W14" i="19"/>
  <c r="U14" i="24"/>
  <c r="T11" i="24"/>
  <c r="T58" i="24"/>
  <c r="T59" i="24"/>
  <c r="W33" i="19" l="1"/>
  <c r="W11" i="19"/>
  <c r="W34" i="19"/>
  <c r="W10" i="19" s="1"/>
  <c r="X14" i="19"/>
  <c r="U58" i="24"/>
  <c r="U59" i="24"/>
  <c r="V14" i="24"/>
  <c r="U11" i="24"/>
  <c r="X11" i="19" l="1"/>
  <c r="X33" i="19"/>
  <c r="X34" i="19"/>
  <c r="X10" i="19" s="1"/>
  <c r="Y14" i="19"/>
  <c r="V59" i="24"/>
  <c r="W14" i="24"/>
  <c r="V11" i="24"/>
  <c r="V58" i="24"/>
  <c r="Y11" i="19" l="1"/>
  <c r="Z14" i="19"/>
  <c r="Y33" i="19"/>
  <c r="Y10" i="19" s="1"/>
  <c r="Y34" i="19"/>
  <c r="W59" i="24"/>
  <c r="X14" i="24"/>
  <c r="W11" i="24"/>
  <c r="W58" i="24"/>
  <c r="Z33" i="19" l="1"/>
  <c r="Z34" i="19"/>
  <c r="AA14" i="19"/>
  <c r="Z11" i="19"/>
  <c r="Y14" i="24"/>
  <c r="X11" i="24"/>
  <c r="X58" i="24"/>
  <c r="X59" i="24"/>
  <c r="AA34" i="19" l="1"/>
  <c r="AA33" i="19"/>
  <c r="AB14" i="19"/>
  <c r="AA11" i="19"/>
  <c r="Z10" i="19"/>
  <c r="Y58" i="24"/>
  <c r="Y59" i="24"/>
  <c r="Z14" i="24"/>
  <c r="Y11" i="24"/>
  <c r="AB11" i="19" l="1"/>
  <c r="AB33" i="19"/>
  <c r="AB10" i="19" s="1"/>
  <c r="AB34" i="19"/>
  <c r="AC14" i="19"/>
  <c r="AA10" i="19"/>
  <c r="Z59" i="24"/>
  <c r="AA14" i="24"/>
  <c r="Z11" i="24"/>
  <c r="Z58" i="24"/>
  <c r="AC31" i="19" l="1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0" i="19" l="1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D10" i="19" l="1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F13" i="19" l="1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T12" i="19" l="1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2" i="24" l="1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<sst xmlns="http://schemas.openxmlformats.org/spreadsheetml/2006/main" count="269" uniqueCount="143">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</sst>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3924342619390238E-2"/>
          <c:y val="0.87395468116628694"/>
          <c:w val="0.92610713188572169"/>
          <c:h val="0.979975483007317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34</c:v>
                </c:pt>
                <c:pt idx="1">
                  <c:v>28</c:v>
                </c:pt>
                <c:pt idx="2">
                  <c:v>23.5</c:v>
                </c:pt>
                <c:pt idx="3">
                  <c:v>19</c:v>
                </c:pt>
                <c:pt idx="4">
                  <c:v>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15.600000000000001</c:v>
                </c:pt>
                <c:pt idx="4">
                  <c:v>7.8000000000000007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32.900000000000006</c:v>
                </c:pt>
                <c:pt idx="1">
                  <c:v>28.6</c:v>
                </c:pt>
                <c:pt idx="2">
                  <c:v>24.300000000000004</c:v>
                </c:pt>
                <c:pt idx="3">
                  <c:v>20.000000000000004</c:v>
                </c:pt>
                <c:pt idx="4">
                  <c:v>15.700000000000003</c:v>
                </c:pt>
                <c:pt idx="5">
                  <c:v>11.400000000000006</c:v>
                </c:pt>
                <c:pt idx="6">
                  <c:v>7.100000000000005</c:v>
                </c:pt>
                <c:pt idx="7">
                  <c:v>2.8000000000000043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7" priority="1" stopIfTrue="1">
      <formula>$F4="Planned"</formula>
    </cfRule>
    <cfRule type="expression" dxfId="56" priority="2" stopIfTrue="1">
      <formula>$F4="Ongoing"</formula>
    </cfRule>
  </conditionalFormatting>
  <conditionalFormatting sqref="F4:F10 F16:F30">
    <cfRule type="expression" dxfId="55" priority="3" stopIfTrue="1">
      <formula>$F4="Planned"</formula>
    </cfRule>
    <cfRule type="expression" dxfId="54" priority="4" stopIfTrue="1">
      <formula>$F4="Ongoing"</formula>
    </cfRule>
    <cfRule type="cellIs" dxfId="53" priority="5" stopIfTrue="1" operator="equal">
      <formula>"Unplanned"</formula>
    </cfRule>
  </conditionalFormatting>
  <conditionalFormatting sqref="E4 G16:H30 A16:E30">
    <cfRule type="expression" dxfId="52" priority="6" stopIfTrue="1">
      <formula>OR($F4="Planned",$F4="Unplanned")</formula>
    </cfRule>
    <cfRule type="expression" dxfId="51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B8" sqref="B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28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34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0" priority="108" stopIfTrue="1">
      <formula>$C4="Done"</formula>
    </cfRule>
    <cfRule type="expression" dxfId="49" priority="109" stopIfTrue="1">
      <formula>$C4="Ongoing"</formula>
    </cfRule>
    <cfRule type="expression" dxfId="48" priority="110" stopIfTrue="1">
      <formula>$C4="Removed"</formula>
    </cfRule>
  </conditionalFormatting>
  <conditionalFormatting sqref="G54">
    <cfRule type="expression" dxfId="47" priority="111" stopIfTrue="1">
      <formula>$C44="Done"</formula>
    </cfRule>
    <cfRule type="expression" dxfId="46" priority="112" stopIfTrue="1">
      <formula>$C44="Ongoing"</formula>
    </cfRule>
    <cfRule type="expression" dxfId="45" priority="113" stopIfTrue="1">
      <formula>$C44="Removed"</formula>
    </cfRule>
  </conditionalFormatting>
  <conditionalFormatting sqref="G43:G44">
    <cfRule type="expression" dxfId="44" priority="114" stopIfTrue="1">
      <formula>#REF!="Done"</formula>
    </cfRule>
    <cfRule type="expression" dxfId="43" priority="115" stopIfTrue="1">
      <formula>#REF!="Ongoing"</formula>
    </cfRule>
    <cfRule type="expression" dxfId="42" priority="116" stopIfTrue="1">
      <formula>#REF!="Removed"</formula>
    </cfRule>
  </conditionalFormatting>
  <conditionalFormatting sqref="G23">
    <cfRule type="expression" dxfId="41" priority="117" stopIfTrue="1">
      <formula>#REF!="Done"</formula>
    </cfRule>
    <cfRule type="expression" dxfId="40" priority="118" stopIfTrue="1">
      <formula>#REF!="Ongoing"</formula>
    </cfRule>
    <cfRule type="expression" dxfId="39" priority="119" stopIfTrue="1">
      <formula>#REF!="Removed"</formula>
    </cfRule>
  </conditionalFormatting>
  <conditionalFormatting sqref="H4">
    <cfRule type="expression" dxfId="38" priority="105" stopIfTrue="1">
      <formula>$C4="Done"</formula>
    </cfRule>
    <cfRule type="expression" dxfId="37" priority="106" stopIfTrue="1">
      <formula>$C4="Ongoing"</formula>
    </cfRule>
    <cfRule type="expression" dxfId="36" priority="107" stopIfTrue="1">
      <formula>$C4="Removed"</formula>
    </cfRule>
  </conditionalFormatting>
  <conditionalFormatting sqref="A5:A12">
    <cfRule type="expression" dxfId="35" priority="7" stopIfTrue="1">
      <formula>$D5="Done"</formula>
    </cfRule>
    <cfRule type="expression" dxfId="34" priority="8" stopIfTrue="1">
      <formula>$D5="Ongoing"</formula>
    </cfRule>
  </conditionalFormatting>
  <conditionalFormatting sqref="G5">
    <cfRule type="expression" dxfId="33" priority="4" stopIfTrue="1">
      <formula>$C5="Done"</formula>
    </cfRule>
    <cfRule type="expression" dxfId="32" priority="5" stopIfTrue="1">
      <formula>$C5="Ongoing"</formula>
    </cfRule>
    <cfRule type="expression" dxfId="31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30" priority="1" stopIfTrue="1">
      <formula>$D26="Done"</formula>
    </cfRule>
    <cfRule type="expression" dxfId="29" priority="2" stopIfTrue="1">
      <formula>$D26="Ongoing"</formula>
    </cfRule>
    <cfRule type="expression" dxfId="28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7" priority="1" stopIfTrue="1">
      <formula>$D15="Done"</formula>
    </cfRule>
    <cfRule type="expression" dxfId="26" priority="2" stopIfTrue="1">
      <formula>$D15="Ongoing"</formula>
    </cfRule>
  </conditionalFormatting>
  <conditionalFormatting sqref="A15:I18">
    <cfRule type="expression" dxfId="25" priority="3" stopIfTrue="1">
      <formula>$D15="Done"</formula>
    </cfRule>
    <cfRule type="expression" dxfId="24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tabSelected="1" zoomScale="120" zoomScaleNormal="120" workbookViewId="0">
      <pane ySplit="14" topLeftCell="A21" activePane="bottomLeft" state="frozen"/>
      <selection pane="bottomLeft" activeCell="A24" sqref="A24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39</v>
      </c>
      <c r="F10" s="71">
        <f ca="1">IF(AND(SUM(OFFSET(F14,1,0,TaskRows,1))=0),0,SUM(OFFSET(F14,1,0,TaskRows,1)))</f>
        <v>34</v>
      </c>
      <c r="G10" s="71">
        <f t="shared" ref="G10:AD10" ca="1" si="0">IF(AND(SUM(OFFSET(G14,1,0,TaskRows,1))=0),"",SUM(OFFSET(G14,1,0,TaskRows,1)))</f>
        <v>28</v>
      </c>
      <c r="H10" s="71">
        <f t="shared" ca="1" si="0"/>
        <v>23.5</v>
      </c>
      <c r="I10" s="71">
        <f t="shared" ca="1" si="0"/>
        <v>19</v>
      </c>
      <c r="J10" s="71">
        <f t="shared" ca="1" si="0"/>
        <v>17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39</v>
      </c>
      <c r="G11" s="2">
        <f t="shared" ref="G11:AD11" ca="1" si="1">IF(G14="","",TotalEffort-TotalEffort/(ImplementationDays)*(G14-1))</f>
        <v>31.2</v>
      </c>
      <c r="H11" s="2">
        <f t="shared" ca="1" si="1"/>
        <v>23.4</v>
      </c>
      <c r="I11" s="2">
        <f t="shared" ca="1" si="1"/>
        <v>15.600000000000001</v>
      </c>
      <c r="J11" s="2">
        <f t="shared" ca="1" si="1"/>
        <v>7.8000000000000007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32.900000000000006</v>
      </c>
      <c r="G12" s="2">
        <f t="shared" ca="1" si="2"/>
        <v>28.6</v>
      </c>
      <c r="H12" s="2">
        <f t="shared" ca="1" si="2"/>
        <v>24.300000000000004</v>
      </c>
      <c r="I12" s="2">
        <f t="shared" ca="1" si="2"/>
        <v>20.000000000000004</v>
      </c>
      <c r="J12" s="2">
        <f t="shared" ca="1" si="2"/>
        <v>15.700000000000003</v>
      </c>
      <c r="K12" s="2">
        <f t="shared" ca="1" si="2"/>
        <v>11.400000000000006</v>
      </c>
      <c r="L12" s="2">
        <f t="shared" ca="1" si="2"/>
        <v>7.100000000000005</v>
      </c>
      <c r="M12" s="2">
        <f t="shared" ca="1" si="2"/>
        <v>2.8000000000000043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141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140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142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28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1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28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0.5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tr">
        <f t="shared" ref="D26:D35" si="5">IF(A26&lt;&gt;"","Planned","")</f>
        <v>Planned</v>
      </c>
      <c r="E26" s="34">
        <v>5</v>
      </c>
      <c r="F26" s="34">
        <f t="shared" ref="F26:F34" si="6">IF(OR(F$14="",$E26=""),"",E26)</f>
        <v>5</v>
      </c>
      <c r="G26" s="34">
        <v>5</v>
      </c>
      <c r="H26" s="34">
        <v>5</v>
      </c>
      <c r="I26" s="34">
        <v>5</v>
      </c>
      <c r="J26" s="34">
        <v>5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34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34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/>
      <c r="D30" s="35" t="str">
        <f t="shared" si="5"/>
        <v>Planned</v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135</v>
      </c>
      <c r="B31" s="34">
        <v>5</v>
      </c>
      <c r="C31"/>
      <c r="D31" s="35" t="str">
        <f t="shared" si="5"/>
        <v>Planned</v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136</v>
      </c>
      <c r="B32" s="34">
        <v>5</v>
      </c>
      <c r="C32"/>
      <c r="D32" s="35" t="str">
        <f t="shared" si="5"/>
        <v>Planned</v>
      </c>
      <c r="F32" s="34" t="str">
        <f t="shared" si="6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137</v>
      </c>
      <c r="B33" s="34">
        <v>5</v>
      </c>
      <c r="C33"/>
      <c r="D33" s="35" t="str">
        <f t="shared" si="5"/>
        <v>Planned</v>
      </c>
      <c r="F33" s="34" t="str">
        <f t="shared" si="6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138</v>
      </c>
      <c r="C34"/>
      <c r="D34" s="35" t="str">
        <f t="shared" si="5"/>
        <v>Planned</v>
      </c>
      <c r="F34" s="34" t="str">
        <f t="shared" si="6"/>
        <v/>
      </c>
      <c r="G34" s="34" t="str">
        <f t="shared" ref="G34:AB34" si="8">IF(OR(G$14="",$E34=""),"",F34)</f>
        <v/>
      </c>
      <c r="H34" s="34" t="str">
        <f t="shared" si="8"/>
        <v/>
      </c>
      <c r="I34" s="34" t="str">
        <f t="shared" si="8"/>
        <v/>
      </c>
      <c r="J34" s="34" t="str">
        <f t="shared" si="8"/>
        <v/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139</v>
      </c>
      <c r="B35" s="2"/>
      <c r="C35"/>
      <c r="D35" s="35" t="str">
        <f t="shared" si="5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23" priority="3" stopIfTrue="1">
      <formula>$D15="Done"</formula>
    </cfRule>
    <cfRule type="expression" dxfId="22" priority="4" stopIfTrue="1">
      <formula>$D15="Ongoing"</formula>
    </cfRule>
  </conditionalFormatting>
  <conditionalFormatting sqref="A15:A16">
    <cfRule type="expression" dxfId="21" priority="1" stopIfTrue="1">
      <formula>$D15="Done"</formula>
    </cfRule>
    <cfRule type="expression" dxfId="20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6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35" si="4">IF(A15&lt;&gt;"","Planned","")</f>
        <v/>
      </c>
      <c r="F15" s="2" t="str">
        <f t="shared" ref="F15:F37" si="5">IF(OR(F$14="",$E15=""),"",E15)</f>
        <v/>
      </c>
      <c r="AC15" s="2" t="str">
        <f t="shared" ref="AC15:AD35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1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1:30" x14ac:dyDescent="0.2">
      <c r="D34" t="str">
        <f t="shared" si="4"/>
        <v/>
      </c>
      <c r="F34" s="2" t="str">
        <f t="shared" si="5"/>
        <v/>
      </c>
      <c r="G34" s="2" t="str">
        <f t="shared" ref="G34:AB34" si="7">IF(OR(G$14="",$E34=""),"",F34)</f>
        <v/>
      </c>
      <c r="H34" s="2" t="str">
        <f t="shared" si="7"/>
        <v/>
      </c>
      <c r="I34" s="2" t="str">
        <f t="shared" si="7"/>
        <v/>
      </c>
      <c r="J34" s="2" t="str">
        <f t="shared" si="7"/>
        <v/>
      </c>
      <c r="K34" s="2" t="str">
        <f t="shared" si="7"/>
        <v/>
      </c>
      <c r="L34" s="2" t="str">
        <f t="shared" si="7"/>
        <v/>
      </c>
      <c r="M34" s="2" t="str">
        <f t="shared" si="7"/>
        <v/>
      </c>
      <c r="N34" s="2" t="str">
        <f t="shared" si="7"/>
        <v/>
      </c>
      <c r="O34" s="2" t="str">
        <f t="shared" si="7"/>
        <v/>
      </c>
      <c r="P34" s="2" t="str">
        <f t="shared" si="7"/>
        <v/>
      </c>
      <c r="Q34" s="2" t="str">
        <f t="shared" si="7"/>
        <v/>
      </c>
      <c r="R34" s="2" t="str">
        <f t="shared" si="7"/>
        <v/>
      </c>
      <c r="S34" s="2" t="str">
        <f t="shared" si="7"/>
        <v/>
      </c>
      <c r="T34" s="2" t="str">
        <f t="shared" si="7"/>
        <v/>
      </c>
      <c r="U34" s="2" t="str">
        <f t="shared" si="7"/>
        <v/>
      </c>
      <c r="V34" s="2" t="str">
        <f t="shared" si="7"/>
        <v/>
      </c>
      <c r="W34" s="2" t="str">
        <f t="shared" si="7"/>
        <v/>
      </c>
      <c r="X34" s="2" t="str">
        <f t="shared" si="7"/>
        <v/>
      </c>
      <c r="Y34" s="2" t="str">
        <f t="shared" si="7"/>
        <v/>
      </c>
      <c r="Z34" s="2" t="str">
        <f t="shared" si="7"/>
        <v/>
      </c>
      <c r="AA34" s="2" t="str">
        <f t="shared" si="7"/>
        <v/>
      </c>
      <c r="AB34" s="2" t="str">
        <f t="shared" si="7"/>
        <v/>
      </c>
      <c r="AC34" s="2" t="str">
        <f t="shared" si="6"/>
        <v/>
      </c>
      <c r="AD34" s="2" t="str">
        <f t="shared" si="6"/>
        <v/>
      </c>
    </row>
    <row r="35" spans="1:30" x14ac:dyDescent="0.2">
      <c r="D35" t="str">
        <f t="shared" si="4"/>
        <v/>
      </c>
      <c r="F35" s="2" t="str">
        <f t="shared" si="5"/>
        <v/>
      </c>
      <c r="G35" s="2" t="str">
        <f t="shared" ref="G35:AB35" si="8">IF(OR(G$14="",$E35=""),"",F35)</f>
        <v/>
      </c>
      <c r="H35" s="2" t="str">
        <f t="shared" si="8"/>
        <v/>
      </c>
      <c r="I35" s="2" t="str">
        <f t="shared" si="8"/>
        <v/>
      </c>
      <c r="J35" s="2" t="str">
        <f t="shared" si="8"/>
        <v/>
      </c>
      <c r="K35" s="2" t="str">
        <f t="shared" si="8"/>
        <v/>
      </c>
      <c r="L35" s="2" t="str">
        <f t="shared" si="8"/>
        <v/>
      </c>
      <c r="M35" s="2" t="str">
        <f t="shared" si="8"/>
        <v/>
      </c>
      <c r="N35" s="2" t="str">
        <f t="shared" si="8"/>
        <v/>
      </c>
      <c r="O35" s="2" t="str">
        <f t="shared" si="8"/>
        <v/>
      </c>
      <c r="P35" s="2" t="str">
        <f t="shared" si="8"/>
        <v/>
      </c>
      <c r="Q35" s="2" t="str">
        <f t="shared" si="8"/>
        <v/>
      </c>
      <c r="R35" s="2" t="str">
        <f t="shared" si="8"/>
        <v/>
      </c>
      <c r="S35" s="2" t="str">
        <f t="shared" si="8"/>
        <v/>
      </c>
      <c r="T35" s="2" t="str">
        <f t="shared" si="8"/>
        <v/>
      </c>
      <c r="U35" s="2" t="str">
        <f t="shared" si="8"/>
        <v/>
      </c>
      <c r="V35" s="2" t="str">
        <f t="shared" si="8"/>
        <v/>
      </c>
      <c r="W35" s="2" t="str">
        <f t="shared" si="8"/>
        <v/>
      </c>
      <c r="X35" s="2" t="str">
        <f t="shared" si="8"/>
        <v/>
      </c>
      <c r="Y35" s="2" t="str">
        <f t="shared" si="8"/>
        <v/>
      </c>
      <c r="Z35" s="2" t="str">
        <f t="shared" si="8"/>
        <v/>
      </c>
      <c r="AA35" s="2" t="str">
        <f t="shared" si="8"/>
        <v/>
      </c>
      <c r="AB35" s="2" t="str">
        <f t="shared" si="8"/>
        <v/>
      </c>
      <c r="AC35" s="2" t="str">
        <f t="shared" si="6"/>
        <v/>
      </c>
      <c r="AD35" s="2" t="str">
        <f t="shared" si="6"/>
        <v/>
      </c>
    </row>
    <row r="36" spans="1:30" x14ac:dyDescent="0.2">
      <c r="E36" s="2">
        <v>0</v>
      </c>
      <c r="F36" s="2">
        <f t="shared" si="5"/>
        <v>0</v>
      </c>
    </row>
    <row r="37" spans="1:30" x14ac:dyDescent="0.2">
      <c r="E37" s="2">
        <v>0</v>
      </c>
      <c r="F37" s="2">
        <f t="shared" si="5"/>
        <v>0</v>
      </c>
      <c r="AC37" s="2" t="str">
        <f t="shared" ref="AC37:AD59" si="9">IF(OR(AC$14="",$E37=""),"",AB37)</f>
        <v/>
      </c>
      <c r="AD37" s="2" t="str">
        <f t="shared" si="9"/>
        <v/>
      </c>
    </row>
    <row r="38" spans="1:30" x14ac:dyDescent="0.2">
      <c r="AC38" s="2" t="str">
        <f t="shared" si="9"/>
        <v/>
      </c>
      <c r="AD38" s="2" t="str">
        <f t="shared" si="9"/>
        <v/>
      </c>
    </row>
    <row r="39" spans="1:30" x14ac:dyDescent="0.2">
      <c r="AC39" s="2" t="str">
        <f t="shared" si="9"/>
        <v/>
      </c>
      <c r="AD39" s="2" t="str">
        <f t="shared" si="9"/>
        <v/>
      </c>
    </row>
    <row r="40" spans="1:30" x14ac:dyDescent="0.2">
      <c r="AC40" s="2" t="str">
        <f t="shared" si="9"/>
        <v/>
      </c>
      <c r="AD40" s="2" t="str">
        <f t="shared" si="9"/>
        <v/>
      </c>
    </row>
    <row r="41" spans="1:30" x14ac:dyDescent="0.2">
      <c r="AC41" s="2" t="str">
        <f t="shared" si="9"/>
        <v/>
      </c>
      <c r="AD41" s="2" t="str">
        <f t="shared" si="9"/>
        <v/>
      </c>
    </row>
    <row r="42" spans="1:30" x14ac:dyDescent="0.2">
      <c r="D42" s="35"/>
      <c r="E42" s="34"/>
      <c r="AC42" s="2" t="str">
        <f t="shared" si="9"/>
        <v/>
      </c>
      <c r="AD42" s="2" t="str">
        <f t="shared" si="9"/>
        <v/>
      </c>
    </row>
    <row r="43" spans="1:30" x14ac:dyDescent="0.2">
      <c r="A43" s="35"/>
      <c r="B43" s="34"/>
      <c r="D43" s="35"/>
      <c r="E43" s="34"/>
      <c r="AC43" s="2" t="str">
        <f t="shared" si="9"/>
        <v/>
      </c>
      <c r="AD43" s="2" t="str">
        <f t="shared" si="9"/>
        <v/>
      </c>
    </row>
    <row r="44" spans="1:30" x14ac:dyDescent="0.2">
      <c r="A44" s="35"/>
      <c r="B44" s="34"/>
      <c r="D44" s="35"/>
      <c r="E44" s="34"/>
      <c r="AC44" s="2" t="str">
        <f t="shared" si="9"/>
        <v/>
      </c>
      <c r="AD44" s="2" t="str">
        <f t="shared" si="9"/>
        <v/>
      </c>
    </row>
    <row r="45" spans="1:30" x14ac:dyDescent="0.2">
      <c r="A45" s="35"/>
      <c r="B45" s="34"/>
      <c r="D45" s="35"/>
      <c r="E45" s="34"/>
      <c r="AC45" s="2" t="str">
        <f t="shared" si="9"/>
        <v/>
      </c>
      <c r="AD45" s="2" t="str">
        <f t="shared" si="9"/>
        <v/>
      </c>
    </row>
    <row r="46" spans="1:30" x14ac:dyDescent="0.2">
      <c r="A46" s="35"/>
      <c r="B46" s="34"/>
      <c r="D46" s="35"/>
      <c r="E46" s="34"/>
      <c r="AC46" s="2" t="str">
        <f t="shared" si="9"/>
        <v/>
      </c>
      <c r="AD46" s="2" t="str">
        <f t="shared" si="9"/>
        <v/>
      </c>
    </row>
    <row r="47" spans="1:30" x14ac:dyDescent="0.2">
      <c r="AC47" s="2" t="str">
        <f t="shared" si="9"/>
        <v/>
      </c>
      <c r="AD47" s="2" t="str">
        <f t="shared" si="9"/>
        <v/>
      </c>
    </row>
    <row r="48" spans="1:30" x14ac:dyDescent="0.2">
      <c r="AC48" s="2" t="str">
        <f t="shared" si="9"/>
        <v/>
      </c>
      <c r="AD48" s="2" t="str">
        <f t="shared" si="9"/>
        <v/>
      </c>
    </row>
    <row r="49" spans="4:30" x14ac:dyDescent="0.2">
      <c r="AC49" s="2" t="str">
        <f t="shared" si="9"/>
        <v/>
      </c>
      <c r="AD49" s="2" t="str">
        <f t="shared" si="9"/>
        <v/>
      </c>
    </row>
    <row r="50" spans="4:30" x14ac:dyDescent="0.2">
      <c r="AC50" s="2" t="str">
        <f t="shared" si="9"/>
        <v/>
      </c>
      <c r="AD50" s="2" t="str">
        <f t="shared" si="9"/>
        <v/>
      </c>
    </row>
    <row r="51" spans="4:30" x14ac:dyDescent="0.2">
      <c r="AC51" s="2" t="str">
        <f t="shared" si="9"/>
        <v/>
      </c>
      <c r="AD51" s="2" t="str">
        <f t="shared" si="9"/>
        <v/>
      </c>
    </row>
    <row r="52" spans="4:30" x14ac:dyDescent="0.2">
      <c r="AC52" s="2" t="str">
        <f t="shared" si="9"/>
        <v/>
      </c>
      <c r="AD52" s="2" t="str">
        <f t="shared" si="9"/>
        <v/>
      </c>
    </row>
    <row r="53" spans="4:30" x14ac:dyDescent="0.2">
      <c r="AC53" s="2" t="str">
        <f t="shared" si="9"/>
        <v/>
      </c>
      <c r="AD53" s="2" t="str">
        <f t="shared" si="9"/>
        <v/>
      </c>
    </row>
    <row r="54" spans="4:30" x14ac:dyDescent="0.2">
      <c r="AC54" s="2" t="str">
        <f t="shared" si="9"/>
        <v/>
      </c>
      <c r="AD54" s="2" t="str">
        <f t="shared" si="9"/>
        <v/>
      </c>
    </row>
    <row r="55" spans="4:30" x14ac:dyDescent="0.2">
      <c r="AC55" s="2" t="str">
        <f t="shared" si="9"/>
        <v/>
      </c>
      <c r="AD55" s="2" t="str">
        <f t="shared" si="9"/>
        <v/>
      </c>
    </row>
    <row r="56" spans="4:30" x14ac:dyDescent="0.2">
      <c r="AC56" s="2" t="str">
        <f t="shared" si="9"/>
        <v/>
      </c>
      <c r="AD56" s="2" t="str">
        <f t="shared" si="9"/>
        <v/>
      </c>
    </row>
    <row r="57" spans="4:30" x14ac:dyDescent="0.2">
      <c r="AC57" s="2" t="str">
        <f t="shared" si="9"/>
        <v/>
      </c>
      <c r="AD57" s="2" t="str">
        <f t="shared" si="9"/>
        <v/>
      </c>
    </row>
    <row r="58" spans="4:30" x14ac:dyDescent="0.2">
      <c r="AC58" s="2" t="str">
        <f t="shared" si="9"/>
        <v/>
      </c>
      <c r="AD58" s="2" t="str">
        <f t="shared" si="9"/>
        <v/>
      </c>
    </row>
    <row r="59" spans="4:30" x14ac:dyDescent="0.2">
      <c r="AC59" s="2" t="str">
        <f t="shared" si="9"/>
        <v/>
      </c>
      <c r="AD59" s="2" t="str">
        <f t="shared" si="9"/>
        <v/>
      </c>
    </row>
    <row r="64" spans="4:30" x14ac:dyDescent="0.2">
      <c r="D64" t="str">
        <f>IF(A64&lt;&gt;"","Planned","")</f>
        <v/>
      </c>
    </row>
  </sheetData>
  <conditionalFormatting sqref="A26:AD58 J15:AD18 F19:AD25">
    <cfRule type="expression" dxfId="19" priority="7" stopIfTrue="1">
      <formula>$D15="Done"</formula>
    </cfRule>
    <cfRule type="expression" dxfId="18" priority="8" stopIfTrue="1">
      <formula>$D15="Ongoing"</formula>
    </cfRule>
  </conditionalFormatting>
  <conditionalFormatting sqref="F15:I18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16:E16 C15:E15">
    <cfRule type="expression" dxfId="15" priority="5" stopIfTrue="1">
      <formula>$D15="Done"</formula>
    </cfRule>
    <cfRule type="expression" dxfId="14" priority="6" stopIfTrue="1">
      <formula>$D15="Ongoing"</formula>
    </cfRule>
  </conditionalFormatting>
  <conditionalFormatting sqref="A15:B15">
    <cfRule type="expression" dxfId="13" priority="3" stopIfTrue="1">
      <formula>$D15="Done"</formula>
    </cfRule>
    <cfRule type="expression" dxfId="12" priority="4" stopIfTrue="1">
      <formula>$D15="Ongoing"</formula>
    </cfRule>
  </conditionalFormatting>
  <conditionalFormatting sqref="A17:E25">
    <cfRule type="expression" dxfId="11" priority="1" stopIfTrue="1">
      <formula>$D17="Done"</formula>
    </cfRule>
    <cfRule type="expression" dxfId="10" priority="2" stopIfTrue="1">
      <formula>$D17="Ongoing"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2020-02-18T14:26:10Z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