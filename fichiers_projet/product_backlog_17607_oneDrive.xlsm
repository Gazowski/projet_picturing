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xr:revisionPtr revIDLastSave="0" documentId="8_{622AAED9-8828-439B-A9E6-A6021C7092F3}" xr6:coauthVersionLast="45" xr6:coauthVersionMax="45" xr10:uidLastSave="{00000000-0000-0000-0000-000000000000}"/>
  <bookViews>
    <workbookView xWindow="-120" yWindow="-120" windowWidth="15600" windowHeight="11760" tabRatio="522" firstSheet="5" activeTab="5" xr2:uid="{00000000-000D-0000-FFFF-FFFF00000000}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'Sp1'!$A$14:$AD$68</definedName>
    <definedName name="SprintTasks" localSheetId="5">'Sp2'!$A$14:$AD$84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'Sp1'!$D$14:$D$63</definedName>
    <definedName name="TaskStatus" localSheetId="5">'Sp2'!$D$14:$D$79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'Sp1'!$B$14:$B$58</definedName>
    <definedName name="TaskStoryID" localSheetId="5">'Sp2'!$B$14:$B$74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8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85" i="22"/>
  <c r="F56" i="22"/>
  <c r="D56" i="22"/>
  <c r="F55" i="22"/>
  <c r="D55" i="22"/>
  <c r="F54" i="22"/>
  <c r="D54" i="22"/>
  <c r="F53" i="22"/>
  <c r="D53" i="22"/>
  <c r="F52" i="22"/>
  <c r="D52" i="22"/>
  <c r="F42" i="22"/>
  <c r="F58" i="22"/>
  <c r="F57" i="22"/>
  <c r="G14" i="22"/>
  <c r="H14" i="22" s="1"/>
  <c r="B11" i="22"/>
  <c r="U10" i="22" s="1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E10" i="19" s="1"/>
  <c r="G11" i="19" s="1"/>
  <c r="F15" i="19"/>
  <c r="F28" i="19"/>
  <c r="F33" i="19"/>
  <c r="D35" i="19"/>
  <c r="F35" i="19"/>
  <c r="D36" i="19"/>
  <c r="F36" i="19"/>
  <c r="D69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G55" i="22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6" i="19"/>
  <c r="H14" i="19"/>
  <c r="G37" i="19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H36" i="19"/>
  <c r="I36" i="19"/>
  <c r="I11" i="23" l="1"/>
  <c r="F10" i="19"/>
  <c r="G10" i="19"/>
  <c r="X10" i="22"/>
  <c r="K10" i="22"/>
  <c r="E10" i="22"/>
  <c r="F11" i="22" s="1"/>
  <c r="S10" i="22"/>
  <c r="M10" i="22"/>
  <c r="Z10" i="22"/>
  <c r="L10" i="22"/>
  <c r="F10" i="22"/>
  <c r="Y10" i="22"/>
  <c r="AB10" i="22"/>
  <c r="AA10" i="22"/>
  <c r="P10" i="22"/>
  <c r="O10" i="22"/>
  <c r="R10" i="22"/>
  <c r="N10" i="22"/>
  <c r="Q10" i="22"/>
  <c r="W10" i="22"/>
  <c r="T10" i="22"/>
  <c r="V10" i="22"/>
  <c r="I14" i="22"/>
  <c r="I55" i="22" s="1"/>
  <c r="H56" i="22"/>
  <c r="H55" i="22"/>
  <c r="G56" i="22"/>
  <c r="H37" i="19"/>
  <c r="I37" i="19" s="1"/>
  <c r="H10" i="19"/>
  <c r="I10" i="19"/>
  <c r="G11" i="24"/>
  <c r="F11" i="24"/>
  <c r="O40" i="20"/>
  <c r="O39" i="20"/>
  <c r="O33" i="20"/>
  <c r="O38" i="20"/>
  <c r="O46" i="20"/>
  <c r="O48" i="20"/>
  <c r="J37" i="19"/>
  <c r="K14" i="19"/>
  <c r="J36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M37" i="20" l="1"/>
  <c r="G11" i="22"/>
  <c r="I11" i="22"/>
  <c r="H11" i="22"/>
  <c r="J14" i="22"/>
  <c r="I56" i="22"/>
  <c r="H10" i="22"/>
  <c r="G10" i="22"/>
  <c r="F13" i="16"/>
  <c r="H12" i="16" s="1"/>
  <c r="M38" i="20"/>
  <c r="L14" i="19"/>
  <c r="K37" i="19"/>
  <c r="K36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55" i="22" l="1"/>
  <c r="J56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7" i="19"/>
  <c r="L36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56" i="22"/>
  <c r="K55" i="22"/>
  <c r="L10" i="19"/>
  <c r="M11" i="19"/>
  <c r="N14" i="19"/>
  <c r="M37" i="19"/>
  <c r="M36" i="19"/>
  <c r="M10" i="19" s="1"/>
  <c r="K59" i="24"/>
  <c r="L14" i="24"/>
  <c r="K11" i="24"/>
  <c r="K58" i="24"/>
  <c r="L55" i="22" l="1"/>
  <c r="L11" i="22"/>
  <c r="L56" i="22"/>
  <c r="M14" i="22"/>
  <c r="N37" i="19"/>
  <c r="O14" i="19"/>
  <c r="N36" i="19"/>
  <c r="N11" i="19"/>
  <c r="M14" i="24"/>
  <c r="L11" i="24"/>
  <c r="L58" i="24"/>
  <c r="L59" i="24"/>
  <c r="M55" i="22" l="1"/>
  <c r="M56" i="22"/>
  <c r="M11" i="22"/>
  <c r="N14" i="22"/>
  <c r="N10" i="19"/>
  <c r="P14" i="19"/>
  <c r="O37" i="19"/>
  <c r="O36" i="19"/>
  <c r="O11" i="19"/>
  <c r="M58" i="24"/>
  <c r="M59" i="24"/>
  <c r="M11" i="24"/>
  <c r="N14" i="24"/>
  <c r="O10" i="19" l="1"/>
  <c r="N55" i="22"/>
  <c r="N56" i="22"/>
  <c r="O14" i="22"/>
  <c r="N11" i="22"/>
  <c r="P36" i="19"/>
  <c r="P37" i="19"/>
  <c r="P11" i="19"/>
  <c r="Q14" i="19"/>
  <c r="N59" i="24"/>
  <c r="O14" i="24"/>
  <c r="N11" i="24"/>
  <c r="N58" i="24"/>
  <c r="P14" i="22" l="1"/>
  <c r="O55" i="22"/>
  <c r="O11" i="22"/>
  <c r="O56" i="22"/>
  <c r="Q11" i="19"/>
  <c r="Q37" i="19"/>
  <c r="Q36" i="19"/>
  <c r="R14" i="19"/>
  <c r="P10" i="19"/>
  <c r="O59" i="24"/>
  <c r="P14" i="24"/>
  <c r="O11" i="24"/>
  <c r="O58" i="24"/>
  <c r="P56" i="22" l="1"/>
  <c r="Q14" i="22"/>
  <c r="P11" i="22"/>
  <c r="P55" i="22"/>
  <c r="Q10" i="19"/>
  <c r="S14" i="19"/>
  <c r="R37" i="19"/>
  <c r="R11" i="19"/>
  <c r="R36" i="19"/>
  <c r="Q14" i="24"/>
  <c r="P11" i="24"/>
  <c r="P58" i="24"/>
  <c r="P59" i="24"/>
  <c r="R14" i="22" l="1"/>
  <c r="Q55" i="22"/>
  <c r="Q56" i="22"/>
  <c r="Q11" i="22"/>
  <c r="R10" i="19"/>
  <c r="S36" i="19"/>
  <c r="S11" i="19"/>
  <c r="S37" i="19"/>
  <c r="T14" i="19"/>
  <c r="Q58" i="24"/>
  <c r="Q59" i="24"/>
  <c r="R14" i="24"/>
  <c r="Q11" i="24"/>
  <c r="R11" i="22" l="1"/>
  <c r="S14" i="22"/>
  <c r="R56" i="22"/>
  <c r="R55" i="22"/>
  <c r="T37" i="19"/>
  <c r="T11" i="19"/>
  <c r="T36" i="19"/>
  <c r="U14" i="19"/>
  <c r="S10" i="19"/>
  <c r="R59" i="24"/>
  <c r="S14" i="24"/>
  <c r="R11" i="24"/>
  <c r="R58" i="24"/>
  <c r="S56" i="22" l="1"/>
  <c r="T14" i="22"/>
  <c r="S55" i="22"/>
  <c r="S11" i="22"/>
  <c r="U11" i="19"/>
  <c r="U36" i="19"/>
  <c r="U37" i="19"/>
  <c r="V14" i="19"/>
  <c r="T10" i="19"/>
  <c r="S59" i="24"/>
  <c r="T14" i="24"/>
  <c r="S11" i="24"/>
  <c r="S58" i="24"/>
  <c r="U10" i="19" l="1"/>
  <c r="T55" i="22"/>
  <c r="T11" i="22"/>
  <c r="U14" i="22"/>
  <c r="T56" i="22"/>
  <c r="V36" i="19"/>
  <c r="V11" i="19"/>
  <c r="V37" i="19"/>
  <c r="V10" i="19" s="1"/>
  <c r="W14" i="19"/>
  <c r="U14" i="24"/>
  <c r="T11" i="24"/>
  <c r="T58" i="24"/>
  <c r="T59" i="24"/>
  <c r="U56" i="22" l="1"/>
  <c r="U11" i="22"/>
  <c r="U55" i="22"/>
  <c r="V14" i="22"/>
  <c r="W36" i="19"/>
  <c r="W11" i="19"/>
  <c r="W37" i="19"/>
  <c r="W10" i="19" s="1"/>
  <c r="X14" i="19"/>
  <c r="U58" i="24"/>
  <c r="U59" i="24"/>
  <c r="V14" i="24"/>
  <c r="U11" i="24"/>
  <c r="W14" i="22" l="1"/>
  <c r="V11" i="22"/>
  <c r="V55" i="22"/>
  <c r="V56" i="22"/>
  <c r="X11" i="19"/>
  <c r="X36" i="19"/>
  <c r="X37" i="19"/>
  <c r="X10" i="19" s="1"/>
  <c r="Y14" i="19"/>
  <c r="V59" i="24"/>
  <c r="W14" i="24"/>
  <c r="V11" i="24"/>
  <c r="V58" i="24"/>
  <c r="W11" i="22" l="1"/>
  <c r="W56" i="22"/>
  <c r="W55" i="22"/>
  <c r="X14" i="22"/>
  <c r="Y11" i="19"/>
  <c r="Z14" i="19"/>
  <c r="Y36" i="19"/>
  <c r="Y37" i="19"/>
  <c r="W59" i="24"/>
  <c r="X14" i="24"/>
  <c r="W11" i="24"/>
  <c r="W58" i="24"/>
  <c r="Y14" i="22" l="1"/>
  <c r="X56" i="22"/>
  <c r="X55" i="22"/>
  <c r="X11" i="22"/>
  <c r="Y10" i="19"/>
  <c r="Z36" i="19"/>
  <c r="Z37" i="19"/>
  <c r="AA14" i="19"/>
  <c r="Z11" i="19"/>
  <c r="Y14" i="24"/>
  <c r="X11" i="24"/>
  <c r="X58" i="24"/>
  <c r="X59" i="24"/>
  <c r="Y11" i="22" l="1"/>
  <c r="Y56" i="22"/>
  <c r="Y55" i="22"/>
  <c r="Z14" i="22"/>
  <c r="AA37" i="19"/>
  <c r="AA36" i="19"/>
  <c r="AB14" i="19"/>
  <c r="AA11" i="19"/>
  <c r="Z10" i="19"/>
  <c r="Y58" i="24"/>
  <c r="Y59" i="24"/>
  <c r="Z14" i="24"/>
  <c r="Y11" i="24"/>
  <c r="Z11" i="22" l="1"/>
  <c r="Z55" i="22"/>
  <c r="Z56" i="22"/>
  <c r="AA14" i="22"/>
  <c r="AB11" i="19"/>
  <c r="AB36" i="19"/>
  <c r="AB37" i="19"/>
  <c r="AC14" i="19"/>
  <c r="AA10" i="19"/>
  <c r="Z59" i="24"/>
  <c r="AA14" i="24"/>
  <c r="Z11" i="24"/>
  <c r="Z58" i="24"/>
  <c r="AB14" i="22" l="1"/>
  <c r="AA11" i="22"/>
  <c r="AA55" i="22"/>
  <c r="AA56" i="22"/>
  <c r="AB10" i="19"/>
  <c r="AC34" i="19"/>
  <c r="AC37" i="19"/>
  <c r="AC67" i="19"/>
  <c r="AC56" i="19"/>
  <c r="AC43" i="19"/>
  <c r="AD14" i="19"/>
  <c r="AC62" i="19"/>
  <c r="AC42" i="19"/>
  <c r="AC27" i="19"/>
  <c r="AC28" i="19"/>
  <c r="AC36" i="19"/>
  <c r="AC49" i="19"/>
  <c r="AC57" i="19"/>
  <c r="AC61" i="19"/>
  <c r="AC15" i="19"/>
  <c r="AC23" i="19"/>
  <c r="AC54" i="19"/>
  <c r="AC35" i="19"/>
  <c r="AC48" i="19"/>
  <c r="AC46" i="19"/>
  <c r="AC68" i="19"/>
  <c r="AC40" i="19"/>
  <c r="AC58" i="19"/>
  <c r="AC52" i="19"/>
  <c r="AC21" i="19"/>
  <c r="AC47" i="19"/>
  <c r="AC33" i="19"/>
  <c r="AC51" i="19"/>
  <c r="AC44" i="19"/>
  <c r="AC50" i="19"/>
  <c r="AC19" i="19"/>
  <c r="AC65" i="19"/>
  <c r="AC60" i="19"/>
  <c r="AC11" i="19"/>
  <c r="AC66" i="19"/>
  <c r="AC55" i="19"/>
  <c r="AC45" i="19"/>
  <c r="AC64" i="19"/>
  <c r="AC59" i="19"/>
  <c r="AA59" i="24"/>
  <c r="AB14" i="24"/>
  <c r="AA11" i="24"/>
  <c r="AA58" i="24"/>
  <c r="AC14" i="22" l="1"/>
  <c r="AB55" i="22"/>
  <c r="AB11" i="22"/>
  <c r="AB56" i="22"/>
  <c r="AC10" i="19"/>
  <c r="AD57" i="19"/>
  <c r="AD55" i="19"/>
  <c r="AD49" i="19"/>
  <c r="AD44" i="19"/>
  <c r="AD61" i="19"/>
  <c r="AD67" i="19"/>
  <c r="AD48" i="19"/>
  <c r="AD59" i="19"/>
  <c r="AD65" i="19"/>
  <c r="AD11" i="19"/>
  <c r="AD43" i="19"/>
  <c r="AD35" i="19"/>
  <c r="AD50" i="19"/>
  <c r="AD60" i="19"/>
  <c r="AD37" i="19"/>
  <c r="AD27" i="19"/>
  <c r="AD19" i="19"/>
  <c r="AD64" i="19"/>
  <c r="AD42" i="19"/>
  <c r="AD40" i="19"/>
  <c r="AD51" i="19"/>
  <c r="AD15" i="19"/>
  <c r="AD52" i="19"/>
  <c r="AD28" i="19"/>
  <c r="AD58" i="19"/>
  <c r="AD56" i="19"/>
  <c r="AD36" i="19"/>
  <c r="AD46" i="19"/>
  <c r="AD66" i="19"/>
  <c r="AD34" i="19"/>
  <c r="AD33" i="19"/>
  <c r="AD47" i="19"/>
  <c r="AD21" i="19"/>
  <c r="AD23" i="19"/>
  <c r="AD68" i="19"/>
  <c r="AD45" i="19"/>
  <c r="AD54" i="19"/>
  <c r="AD62" i="19"/>
  <c r="AC14" i="24"/>
  <c r="AB11" i="24"/>
  <c r="AB58" i="24"/>
  <c r="AB59" i="24"/>
  <c r="AC20" i="22" l="1"/>
  <c r="AC25" i="22"/>
  <c r="AC19" i="22"/>
  <c r="AC24" i="22"/>
  <c r="AC23" i="22"/>
  <c r="AC59" i="22"/>
  <c r="AC74" i="22"/>
  <c r="AC52" i="22"/>
  <c r="AC11" i="22"/>
  <c r="AC18" i="22"/>
  <c r="AC63" i="22"/>
  <c r="AC69" i="22"/>
  <c r="AC61" i="22"/>
  <c r="AC55" i="22"/>
  <c r="AC75" i="22"/>
  <c r="AC76" i="22"/>
  <c r="AC15" i="22"/>
  <c r="AC21" i="22"/>
  <c r="AC54" i="22"/>
  <c r="AC71" i="22"/>
  <c r="AC70" i="22"/>
  <c r="AC72" i="22"/>
  <c r="AC42" i="22"/>
  <c r="AC56" i="22"/>
  <c r="AC16" i="22"/>
  <c r="AC62" i="22"/>
  <c r="AC40" i="22"/>
  <c r="AC66" i="22"/>
  <c r="AC17" i="22"/>
  <c r="AC64" i="22"/>
  <c r="AC67" i="22"/>
  <c r="AC60" i="22"/>
  <c r="AC79" i="22"/>
  <c r="AC65" i="22"/>
  <c r="AC41" i="22"/>
  <c r="AC78" i="22"/>
  <c r="AC58" i="22"/>
  <c r="AC73" i="22"/>
  <c r="AD14" i="22"/>
  <c r="AC39" i="22"/>
  <c r="AC26" i="22"/>
  <c r="AC77" i="22"/>
  <c r="AC80" i="22"/>
  <c r="AC22" i="22"/>
  <c r="AC53" i="22"/>
  <c r="AC68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D20" i="22" l="1"/>
  <c r="AD25" i="22"/>
  <c r="AD19" i="22"/>
  <c r="AD24" i="22"/>
  <c r="AD23" i="22"/>
  <c r="AC10" i="22"/>
  <c r="AD79" i="22"/>
  <c r="AD40" i="22"/>
  <c r="AD39" i="22"/>
  <c r="AD22" i="22"/>
  <c r="AD63" i="22"/>
  <c r="AD72" i="22"/>
  <c r="AD26" i="22"/>
  <c r="AD15" i="22"/>
  <c r="AD78" i="22"/>
  <c r="AD16" i="22"/>
  <c r="AD70" i="22"/>
  <c r="AD56" i="22"/>
  <c r="AD42" i="22"/>
  <c r="AD66" i="22"/>
  <c r="AD75" i="22"/>
  <c r="AD73" i="22"/>
  <c r="AD21" i="22"/>
  <c r="AD65" i="22"/>
  <c r="AD74" i="22"/>
  <c r="AD71" i="22"/>
  <c r="AD69" i="22"/>
  <c r="AD77" i="22"/>
  <c r="AD60" i="22"/>
  <c r="AD54" i="22"/>
  <c r="AD53" i="22"/>
  <c r="AD68" i="22"/>
  <c r="AD61" i="22"/>
  <c r="AD18" i="22"/>
  <c r="AD52" i="22"/>
  <c r="AD62" i="22"/>
  <c r="AD59" i="22"/>
  <c r="AD80" i="22"/>
  <c r="AD58" i="22"/>
  <c r="AD55" i="22"/>
  <c r="AD64" i="22"/>
  <c r="AD67" i="22"/>
  <c r="AD41" i="22"/>
  <c r="AD17" i="22"/>
  <c r="AD11" i="22"/>
  <c r="AD76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4" authorId="0" shapeId="0" xr:uid="{00000000-0006-0000-0100-000001000000}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 xr:uid="{00000000-0006-0000-0100-000003000000}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 xr:uid="{00000000-0006-0000-0100-000004000000}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 xr:uid="{00000000-0006-0000-0100-000005000000}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B15" authorId="0" shapeId="0" xr:uid="{00000000-0006-0000-0200-000001000000}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 xr:uid="{00000000-0006-0000-0200-000002000000}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 xr:uid="{00000000-0006-0000-0200-000003000000}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3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4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5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6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Petri Heiramo</author>
  </authors>
  <commentList>
    <comment ref="A9" authorId="0" shapeId="0" xr:uid="{00000000-0006-0000-0700-000001000000}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<sst xmlns="http://schemas.openxmlformats.org/spreadsheetml/2006/main" count="378" uniqueCount="181">
  <si>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</si>
  <si>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</si>
  <si>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</si>
  <si>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</si>
  <si>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</si>
  <si>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</si>
  <si>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</si>
  <si>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</si>
  <si>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</si>
  <si>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</si>
  <si>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</si>
  <si>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</si>
  <si>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</si>
  <si>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</si>
  <si>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</si>
  <si>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</si>
  <si>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</si>
  <si>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</si>
  <si>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</si>
  <si>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</si>
  <si>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</si>
  <si>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</si>
  <si>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</si>
  <si>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</si>
  <si>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</si>
  <si>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</si>
  <si>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</si>
  <si>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</si>
  <si>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En tant que Fournisseur, je veux publier une annonce</t>
  </si>
  <si>
    <t>Fournisseur</t>
  </si>
  <si>
    <t>Affichage des annonces</t>
  </si>
  <si>
    <t>Ongoing</t>
  </si>
  <si>
    <t>En tant que Prestataire, je veux consulter les annonces</t>
  </si>
  <si>
    <t xml:space="preserve">soumissionner 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</si>
  <si>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</si>
  <si>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</si>
  <si>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</si>
  <si>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</si>
  <si>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</si>
  <si>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Planned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</si>
  <si>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</si>
  <si>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</si>
  <si>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</si>
  <si>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</si>
  <si>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</si>
  <si>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</si>
  <si>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</si>
  <si>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</si>
  <si>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</si>
  <si>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</si>
  <si>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</si>
  <si>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</si>
  <si>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</si>
  <si>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</si>
  <si>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</si>
  <si>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</si>
  <si>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</si>
  <si>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</si>
  <si>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</si>
  <si>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</si>
  <si>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</si>
  <si>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</si>
  <si>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</si>
  <si>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</si>
  <si>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</si>
  <si>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</si>
  <si>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</si>
  <si>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</si>
  <si>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</si>
  <si>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</si>
  <si>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</si>
  <si>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</si>
  <si>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</si>
  <si>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</si>
  <si>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</si>
  <si>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</si>
  <si>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</si>
  <si>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</si>
  <si>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</si>
  <si>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</si>
  <si>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</si>
  <si>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</si>
  <si>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</si>
  <si>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</si>
  <si>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</si>
  <si>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</si>
  <si>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</si>
  <si>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</si>
  <si>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</si>
  <si>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</si>
  <si>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</si>
  <si>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</si>
  <si>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</si>
  <si>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</si>
  <si>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</si>
  <si>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</si>
  <si>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</si>
  <si>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</si>
  <si>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</si>
  <si>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</si>
  <si>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</si>
  <si>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</si>
  <si>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</si>
  <si>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</si>
  <si>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</si>
  <si>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</si>
  <si>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</si>
  <si>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</si>
  <si>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</si>
  <si>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</si>
  <si>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</si>
  <si>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</si>
  <si>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</si>
  <si>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</si>
  <si>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</si>
  <si>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</si>
  <si>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</si>
  <si>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</si>
  <si>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</si>
  <si>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</si>
  <si>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 xml:space="preserve">vue header + menu : html </t>
  </si>
  <si>
    <t>kervens, gael</t>
  </si>
  <si>
    <t>vue header + menu : css</t>
  </si>
  <si>
    <t>salah,olivier</t>
  </si>
  <si>
    <t>vue footer : html</t>
  </si>
  <si>
    <t>kervens</t>
  </si>
  <si>
    <t xml:space="preserve">vue footer (mobile): css </t>
  </si>
  <si>
    <t>vue tuile : html</t>
  </si>
  <si>
    <t>vue tuile: css</t>
  </si>
  <si>
    <t>vue liste : html</t>
  </si>
  <si>
    <t>kervens,gael</t>
  </si>
  <si>
    <t>vue liste : css</t>
  </si>
  <si>
    <t>salah</t>
  </si>
  <si>
    <t>vue alert: html</t>
  </si>
  <si>
    <t>vue formulaire : html</t>
  </si>
  <si>
    <t>vue formulaire : css</t>
  </si>
  <si>
    <t>db: ajouter des fournisseur</t>
  </si>
  <si>
    <t>gael</t>
  </si>
  <si>
    <t>controleur membre : se connecter</t>
  </si>
  <si>
    <t>controleur membre : activer un membre</t>
  </si>
  <si>
    <t>controleur annonce : ajouter une annonce</t>
  </si>
  <si>
    <t>controleur annonce : voir la liste d'annonces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</si>
  <si>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</si>
  <si>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</si>
  <si>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</si>
  <si>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</si>
  <si>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footer : css</t>
  </si>
  <si>
    <t>done</t>
  </si>
  <si>
    <t>vue alert : html</t>
  </si>
  <si>
    <t>vue alert : css</t>
  </si>
  <si>
    <t xml:space="preserve">     faire l'ajout de photo</t>
  </si>
  <si>
    <t xml:space="preserve">     bug : pas d'erreur si la catégorie n'est pas select</t>
  </si>
  <si>
    <t>réorganiser le css en itcss</t>
  </si>
  <si>
    <t xml:space="preserve">    afficher l'annonce</t>
  </si>
  <si>
    <t>olivier</t>
  </si>
  <si>
    <t xml:space="preserve">    faire le css pour la vue annonce</t>
  </si>
  <si>
    <t xml:space="preserve">    faire une vue annonce </t>
  </si>
  <si>
    <t xml:space="preserve">         vue annonce : ajouter bouton soumissionner</t>
  </si>
  <si>
    <t xml:space="preserve">         vue annonce : liste des messages</t>
  </si>
  <si>
    <t>controleur annonce : soumissionner</t>
  </si>
  <si>
    <t xml:space="preserve">    controleur message : enregistre le message</t>
  </si>
  <si>
    <t xml:space="preserve">    afficher le message dans la vue</t>
  </si>
  <si>
    <t xml:space="preserve">controleur auth : inscription   </t>
  </si>
  <si>
    <t xml:space="preserve">    - ajout bouton s'inscrire dans le form login </t>
  </si>
  <si>
    <t xml:space="preserve">    - mettre en forme le form inscription</t>
  </si>
  <si>
    <t>controleur membre : activer membre</t>
  </si>
  <si>
    <t>script : organiser les fichier js</t>
  </si>
  <si>
    <t>validation annonce</t>
  </si>
  <si>
    <t xml:space="preserve">    ajout colonne annonce dans la table ad</t>
  </si>
  <si>
    <t xml:space="preserve">    modifier model ad pour ne pas afficher les annonces invalides</t>
  </si>
  <si>
    <t xml:space="preserve">    ajout alerte attente activation apres creation annonces</t>
  </si>
  <si>
    <t>ajouter une vue accueil admin</t>
  </si>
  <si>
    <t xml:space="preserve">    accueil admin : html</t>
  </si>
  <si>
    <t xml:space="preserve">    redirection vers accueil admin si user = admin </t>
  </si>
  <si>
    <t>gérer déconnexion</t>
  </si>
  <si>
    <t xml:space="preserve">   ajouter le lien</t>
  </si>
  <si>
    <t xml:space="preserve">   coder la déconnexion (logout sous ion_auth)</t>
  </si>
  <si>
    <t>gérer les accès des utilisateurs non validé</t>
  </si>
  <si>
    <t>gérer les accès suivant le role de l'utilisateur</t>
  </si>
  <si>
    <t xml:space="preserve">   ajouter role dans $_session ou verif le groupe</t>
  </si>
  <si>
    <t xml:space="preserve">   verifier le role pour chaque méthode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</si>
</sst>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5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41</c:v>
                </c:pt>
                <c:pt idx="1">
                  <c:v>35</c:v>
                </c:pt>
                <c:pt idx="2">
                  <c:v>27.5</c:v>
                </c:pt>
                <c:pt idx="3">
                  <c:v>21</c:v>
                </c:pt>
                <c:pt idx="4">
                  <c:v>16.5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49</c:v>
                </c:pt>
                <c:pt idx="1">
                  <c:v>39.200000000000003</c:v>
                </c:pt>
                <c:pt idx="2">
                  <c:v>29.4</c:v>
                </c:pt>
                <c:pt idx="3">
                  <c:v>19.599999999999998</c:v>
                </c:pt>
                <c:pt idx="4">
                  <c:v>9.7999999999999972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40.799999999999997</c:v>
                </c:pt>
                <c:pt idx="1">
                  <c:v>34.5</c:v>
                </c:pt>
                <c:pt idx="2">
                  <c:v>28.199999999999996</c:v>
                </c:pt>
                <c:pt idx="3">
                  <c:v>21.9</c:v>
                </c:pt>
                <c:pt idx="4">
                  <c:v>15.600000000000001</c:v>
                </c:pt>
                <c:pt idx="5">
                  <c:v>9.2999999999999972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50</c:v>
                </c:pt>
                <c:pt idx="1">
                  <c:v>35</c:v>
                </c:pt>
                <c:pt idx="2">
                  <c:v>13.5</c:v>
                </c:pt>
                <c:pt idx="3">
                  <c:v>3</c:v>
                </c:pt>
                <c:pt idx="4">
                  <c:v>2.5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61</c:v>
                </c:pt>
                <c:pt idx="1">
                  <c:v>48.8</c:v>
                </c:pt>
                <c:pt idx="2">
                  <c:v>36.6</c:v>
                </c:pt>
                <c:pt idx="3">
                  <c:v>24.400000000000006</c:v>
                </c:pt>
                <c:pt idx="4">
                  <c:v>12.200000000000003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46.199999999999996</c:v>
                </c:pt>
                <c:pt idx="1">
                  <c:v>33.5</c:v>
                </c:pt>
                <c:pt idx="2">
                  <c:v>20.799999999999997</c:v>
                </c:pt>
                <c:pt idx="3">
                  <c:v>8.1000000000000014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1"/>
  <sheetViews>
    <sheetView topLeftCell="A6" workbookViewId="0">
      <selection activeCell="H20" sqref="H20"/>
    </sheetView>
  </sheetViews>
  <sheetFormatPr defaultColWidth="9.140625" defaultRowHeight="12.75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>
      <c r="A1" s="15" t="s">
        <v>0</v>
      </c>
    </row>
    <row r="3" spans="1:10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>
      <c r="A11" s="38" t="s">
        <v>9</v>
      </c>
    </row>
    <row r="13" spans="1:10" ht="18">
      <c r="A13" s="15" t="s">
        <v>10</v>
      </c>
    </row>
    <row r="15" spans="1:10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>
      <c r="A20" s="22"/>
      <c r="B20" s="26"/>
      <c r="C20" s="27"/>
      <c r="D20" s="26"/>
      <c r="E20" s="22"/>
      <c r="F20" s="4"/>
      <c r="G20" s="27"/>
      <c r="H20" s="29"/>
      <c r="I20" s="39"/>
    </row>
    <row r="21" spans="1:9">
      <c r="A21" s="22"/>
      <c r="B21" s="26"/>
      <c r="C21" s="27"/>
      <c r="D21" s="26"/>
      <c r="E21" s="22"/>
      <c r="F21" s="4"/>
      <c r="G21" s="27"/>
      <c r="H21" s="29"/>
      <c r="I21" s="39"/>
    </row>
    <row r="22" spans="1:9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1" priority="1" stopIfTrue="1">
      <formula>$F4="Planned"</formula>
    </cfRule>
    <cfRule type="expression" dxfId="50" priority="2" stopIfTrue="1">
      <formula>$F4="Ongoing"</formula>
    </cfRule>
  </conditionalFormatting>
  <conditionalFormatting sqref="F4:F10 F16:F30">
    <cfRule type="expression" dxfId="49" priority="3" stopIfTrue="1">
      <formula>$F4="Planned"</formula>
    </cfRule>
    <cfRule type="expression" dxfId="48" priority="4" stopIfTrue="1">
      <formula>$F4="Ongoing"</formula>
    </cfRule>
    <cfRule type="cellIs" dxfId="47" priority="5" stopIfTrue="1" operator="equal">
      <formula>"Unplanned"</formula>
    </cfRule>
  </conditionalFormatting>
  <conditionalFormatting sqref="E4 G16:H30 A16:E30">
    <cfRule type="expression" dxfId="46" priority="6" stopIfTrue="1">
      <formula>OR($F4="Planned",$F4="Unplanned")</formula>
    </cfRule>
    <cfRule type="expression" dxfId="45" priority="7" stopIfTrue="1">
      <formula>$F4="Ongoing"</formula>
    </cfRule>
  </conditionalFormatting>
  <dataValidations count="1">
    <dataValidation type="list" allowBlank="1" showInputMessage="1" showErrorMessage="1" sqref="F4:F10 F16:F30" xr:uid="{00000000-0002-0000-0000-000000000000}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54"/>
  <sheetViews>
    <sheetView zoomScale="160" zoomScaleNormal="160" workbookViewId="0">
      <pane ySplit="4" topLeftCell="A5" activePane="bottomLeft" state="frozen"/>
      <selection pane="bottomLeft" activeCell="G9" sqref="G9"/>
    </sheetView>
  </sheetViews>
  <sheetFormatPr defaultColWidth="9.140625" defaultRowHeight="12.75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>
      <c r="A1" s="54" t="s">
        <v>16</v>
      </c>
      <c r="C1" s="33" t="s">
        <v>17</v>
      </c>
    </row>
    <row r="2" spans="1:8">
      <c r="D2" s="77"/>
    </row>
    <row r="4" spans="1:8" ht="13.5" thickBot="1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28</v>
      </c>
      <c r="H6" s="79" t="s">
        <v>29</v>
      </c>
    </row>
    <row r="7" spans="1:8" ht="25.5">
      <c r="A7">
        <v>5</v>
      </c>
      <c r="B7" s="32" t="s">
        <v>30</v>
      </c>
      <c r="C7" s="34" t="s">
        <v>31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>
      <c r="A8">
        <v>6</v>
      </c>
      <c r="B8" s="32" t="s">
        <v>33</v>
      </c>
      <c r="C8" s="34" t="s">
        <v>31</v>
      </c>
      <c r="E8" s="34">
        <v>2</v>
      </c>
      <c r="F8" s="34">
        <v>3</v>
      </c>
      <c r="G8" s="79" t="s">
        <v>34</v>
      </c>
      <c r="H8" s="79" t="s">
        <v>26</v>
      </c>
    </row>
    <row r="9" spans="1:8" ht="42.75" customHeight="1">
      <c r="A9">
        <v>7</v>
      </c>
      <c r="B9" s="32" t="s">
        <v>35</v>
      </c>
      <c r="C9" s="34" t="s">
        <v>31</v>
      </c>
      <c r="E9" s="34">
        <v>2</v>
      </c>
      <c r="F9" s="34">
        <v>2</v>
      </c>
      <c r="G9" s="79" t="s">
        <v>36</v>
      </c>
      <c r="H9" s="32" t="s">
        <v>37</v>
      </c>
    </row>
    <row r="10" spans="1:8" ht="30.75" customHeight="1">
      <c r="A10">
        <v>8</v>
      </c>
      <c r="B10" s="32" t="s">
        <v>38</v>
      </c>
      <c r="C10" s="34" t="s">
        <v>39</v>
      </c>
      <c r="F10" s="34">
        <v>3</v>
      </c>
      <c r="G10" s="32" t="s">
        <v>40</v>
      </c>
      <c r="H10" s="35" t="s">
        <v>37</v>
      </c>
    </row>
    <row r="11" spans="1:8" ht="38.25">
      <c r="A11">
        <v>9</v>
      </c>
      <c r="B11" s="32" t="s">
        <v>41</v>
      </c>
      <c r="C11" s="34" t="s">
        <v>39</v>
      </c>
      <c r="F11" s="34">
        <v>3</v>
      </c>
      <c r="G11" s="79" t="s">
        <v>42</v>
      </c>
      <c r="H11" s="79" t="s">
        <v>29</v>
      </c>
    </row>
    <row r="12" spans="1:8" ht="26.25" customHeight="1">
      <c r="A12">
        <v>10</v>
      </c>
      <c r="B12" s="32" t="s">
        <v>43</v>
      </c>
      <c r="C12" s="34" t="s">
        <v>39</v>
      </c>
      <c r="F12" s="34">
        <v>3</v>
      </c>
      <c r="G12" s="32" t="s">
        <v>44</v>
      </c>
      <c r="H12" s="35" t="s">
        <v>37</v>
      </c>
    </row>
    <row r="13" spans="1:8">
      <c r="A13" s="34">
        <v>11</v>
      </c>
      <c r="B13" s="32" t="s">
        <v>45</v>
      </c>
      <c r="C13" s="34" t="s">
        <v>24</v>
      </c>
      <c r="F13" s="34">
        <v>1</v>
      </c>
    </row>
    <row r="14" spans="1:8">
      <c r="A14" s="34">
        <v>12</v>
      </c>
      <c r="B14" s="32" t="s">
        <v>46</v>
      </c>
      <c r="C14" s="34" t="s">
        <v>31</v>
      </c>
      <c r="E14" s="34">
        <v>1</v>
      </c>
      <c r="F14" s="34">
        <v>1</v>
      </c>
    </row>
    <row r="30" spans="2:2">
      <c r="B30" s="35"/>
    </row>
    <row r="38" spans="7:10">
      <c r="J38" s="75"/>
    </row>
    <row r="43" spans="7:10">
      <c r="G43" s="76"/>
    </row>
    <row r="54" spans="1:6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44" priority="108" stopIfTrue="1">
      <formula>$C4="Done"</formula>
    </cfRule>
    <cfRule type="expression" dxfId="43" priority="109" stopIfTrue="1">
      <formula>$C4="Ongoing"</formula>
    </cfRule>
    <cfRule type="expression" dxfId="42" priority="110" stopIfTrue="1">
      <formula>$C4="Removed"</formula>
    </cfRule>
  </conditionalFormatting>
  <conditionalFormatting sqref="G54">
    <cfRule type="expression" dxfId="41" priority="111" stopIfTrue="1">
      <formula>$C44="Done"</formula>
    </cfRule>
    <cfRule type="expression" dxfId="40" priority="112" stopIfTrue="1">
      <formula>$C44="Ongoing"</formula>
    </cfRule>
    <cfRule type="expression" dxfId="39" priority="113" stopIfTrue="1">
      <formula>$C44="Removed"</formula>
    </cfRule>
  </conditionalFormatting>
  <conditionalFormatting sqref="G43:G44">
    <cfRule type="expression" dxfId="38" priority="114" stopIfTrue="1">
      <formula>#REF!="Done"</formula>
    </cfRule>
    <cfRule type="expression" dxfId="37" priority="115" stopIfTrue="1">
      <formula>#REF!="Ongoing"</formula>
    </cfRule>
    <cfRule type="expression" dxfId="36" priority="116" stopIfTrue="1">
      <formula>#REF!="Removed"</formula>
    </cfRule>
  </conditionalFormatting>
  <conditionalFormatting sqref="G23">
    <cfRule type="expression" dxfId="35" priority="117" stopIfTrue="1">
      <formula>#REF!="Done"</formula>
    </cfRule>
    <cfRule type="expression" dxfId="34" priority="118" stopIfTrue="1">
      <formula>#REF!="Ongoing"</formula>
    </cfRule>
    <cfRule type="expression" dxfId="33" priority="119" stopIfTrue="1">
      <formula>#REF!="Removed"</formula>
    </cfRule>
  </conditionalFormatting>
  <conditionalFormatting sqref="H4">
    <cfRule type="expression" dxfId="32" priority="105" stopIfTrue="1">
      <formula>$C4="Done"</formula>
    </cfRule>
    <cfRule type="expression" dxfId="31" priority="106" stopIfTrue="1">
      <formula>$C4="Ongoing"</formula>
    </cfRule>
    <cfRule type="expression" dxfId="30" priority="107" stopIfTrue="1">
      <formula>$C4="Removed"</formula>
    </cfRule>
  </conditionalFormatting>
  <conditionalFormatting sqref="A5:A12">
    <cfRule type="expression" dxfId="29" priority="7" stopIfTrue="1">
      <formula>$D5="Done"</formula>
    </cfRule>
    <cfRule type="expression" dxfId="28" priority="8" stopIfTrue="1">
      <formula>$D5="Ongoing"</formula>
    </cfRule>
  </conditionalFormatting>
  <conditionalFormatting sqref="G5">
    <cfRule type="expression" dxfId="27" priority="4" stopIfTrue="1">
      <formula>$C5="Done"</formula>
    </cfRule>
    <cfRule type="expression" dxfId="26" priority="5" stopIfTrue="1">
      <formula>$C5="Ongoing"</formula>
    </cfRule>
    <cfRule type="expression" dxfId="25" priority="6" stopIfTrue="1">
      <formula>$C5="Removed"</formula>
    </cfRule>
  </conditionalFormatting>
  <dataValidations count="1">
    <dataValidation type="list" allowBlank="1" showInputMessage="1" sqref="C55:C164 C11:C53 C4:C7" xr:uid="{00000000-0002-0000-0100-000000000000}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51"/>
  <sheetViews>
    <sheetView topLeftCell="A13" workbookViewId="0">
      <selection activeCell="A57" sqref="A57"/>
    </sheetView>
  </sheetViews>
  <sheetFormatPr defaultColWidth="9.140625" defaultRowHeight="12.75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>
      <c r="A1" s="54" t="s">
        <v>47</v>
      </c>
    </row>
    <row r="3" spans="1:26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>
      <c r="F5" t="s">
        <v>53</v>
      </c>
      <c r="G5" s="55">
        <f>IF(G4&gt;D4,G4-D4,0)</f>
        <v>0</v>
      </c>
      <c r="Z5" s="38" t="s">
        <v>54</v>
      </c>
    </row>
    <row r="6" spans="1:26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>
      <c r="A7" t="s">
        <v>58</v>
      </c>
      <c r="D7">
        <v>35</v>
      </c>
      <c r="Z7" s="38" t="s">
        <v>59</v>
      </c>
    </row>
    <row r="8" spans="1:26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>
      <c r="A10" t="s">
        <v>64</v>
      </c>
      <c r="D10" s="58" t="str">
        <f ca="1">IF(D28="","",AVERAGE(LastEight))</f>
        <v/>
      </c>
      <c r="Z10" s="38" t="s">
        <v>65</v>
      </c>
    </row>
    <row r="11" spans="1:26">
      <c r="A11" t="s">
        <v>66</v>
      </c>
      <c r="D11" s="58" t="str">
        <f ca="1">IF(D28="","",IF(TrendSprintCount&lt;4,D10,AVERAGE(SMALL(LastEight,1),SMALL(LastEight,2),SMALL(LastEight,3))))</f>
        <v/>
      </c>
      <c r="Z11" s="38" t="s">
        <v>67</v>
      </c>
    </row>
    <row r="12" spans="1:26">
      <c r="A12" t="s">
        <v>68</v>
      </c>
      <c r="D12" s="58" t="str">
        <f ca="1">IF(M29="","",M28-M29)</f>
        <v/>
      </c>
      <c r="Z12" s="38" t="s">
        <v>69</v>
      </c>
    </row>
    <row r="13" spans="1:26">
      <c r="F13" s="56" t="s">
        <v>70</v>
      </c>
      <c r="Z13" s="38" t="s">
        <v>71</v>
      </c>
    </row>
    <row r="14" spans="1:26">
      <c r="A14" s="1" t="s">
        <v>72</v>
      </c>
    </row>
    <row r="15" spans="1:26">
      <c r="A15" t="s">
        <v>73</v>
      </c>
      <c r="D15" s="59">
        <f>IF(D7="",0,ROUNDUP(D3/D7*0.6,0))</f>
        <v>2</v>
      </c>
    </row>
    <row r="16" spans="1:26">
      <c r="A16" t="s">
        <v>74</v>
      </c>
      <c r="D16" s="59">
        <f>IF(D7="",0,ROUNDUP(D3/D7,0))</f>
        <v>3</v>
      </c>
    </row>
    <row r="17" spans="1:17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>
      <c r="A20" t="s">
        <v>64</v>
      </c>
      <c r="D20" s="59" t="str">
        <f ca="1"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>
      <c r="A21" t="s">
        <v>66</v>
      </c>
      <c r="D21" s="59" t="str">
        <f ca="1">IF(D11="","",IF(LastRealized="",ROUNDUP(LastPlanned/D11+SprintCount-1,0),ROUNDUP((LastPlanned-LastRealized)/D11,0)+SprintCount))</f>
        <v/>
      </c>
    </row>
    <row r="22" spans="1:17">
      <c r="A22" t="s">
        <v>68</v>
      </c>
      <c r="D22" s="59" t="str">
        <f ca="1">IF(COUNT(M28:M51)-1&gt;0,COUNT(M28:M51)-1,"")</f>
        <v/>
      </c>
    </row>
    <row r="23" spans="1:17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ca="1" si="6">D$10</f>
        <v/>
      </c>
      <c r="Q28" s="65" t="str">
        <f t="shared" ref="Q28:Q51" ca="1" si="7">D$11</f>
        <v/>
      </c>
    </row>
    <row r="29" spans="1:17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ca="1" si="6"/>
        <v/>
      </c>
      <c r="Q29" s="65" t="str">
        <f t="shared" ca="1" si="7"/>
        <v/>
      </c>
    </row>
    <row r="30" spans="1:17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ca="1" si="6"/>
        <v/>
      </c>
      <c r="Q30" s="65" t="str">
        <f t="shared" ca="1" si="7"/>
        <v/>
      </c>
    </row>
    <row r="31" spans="1:17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ca="1" si="6"/>
        <v/>
      </c>
      <c r="Q31" s="65" t="str">
        <f t="shared" ca="1" si="7"/>
        <v/>
      </c>
    </row>
    <row r="32" spans="1:17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ca="1" si="6"/>
        <v/>
      </c>
      <c r="Q32" s="65" t="str">
        <f t="shared" ca="1" si="7"/>
        <v/>
      </c>
    </row>
    <row r="33" spans="1:17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ca="1" si="6"/>
        <v/>
      </c>
      <c r="Q33" s="65" t="str">
        <f t="shared" ca="1" si="7"/>
        <v/>
      </c>
    </row>
    <row r="34" spans="1:17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ca="1" si="6"/>
        <v/>
      </c>
      <c r="Q34" s="65" t="str">
        <f t="shared" ca="1" si="7"/>
        <v/>
      </c>
    </row>
    <row r="35" spans="1:17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ca="1" si="6"/>
        <v/>
      </c>
      <c r="Q35" s="65" t="str">
        <f t="shared" ca="1" si="7"/>
        <v/>
      </c>
    </row>
    <row r="36" spans="1:17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ca="1" si="6"/>
        <v/>
      </c>
      <c r="Q36" s="65" t="str">
        <f t="shared" ca="1" si="7"/>
        <v/>
      </c>
    </row>
    <row r="37" spans="1:17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ca="1" si="6"/>
        <v/>
      </c>
      <c r="Q37" s="65" t="str">
        <f t="shared" ca="1" si="7"/>
        <v/>
      </c>
    </row>
    <row r="38" spans="1:17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ca="1" si="6"/>
        <v/>
      </c>
      <c r="Q38" s="65" t="str">
        <f t="shared" ca="1" si="7"/>
        <v/>
      </c>
    </row>
    <row r="39" spans="1:17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ca="1" si="6"/>
        <v/>
      </c>
      <c r="Q39" s="65" t="str">
        <f t="shared" ca="1" si="7"/>
        <v/>
      </c>
    </row>
    <row r="40" spans="1:17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ca="1" si="6"/>
        <v/>
      </c>
      <c r="Q40" s="65" t="str">
        <f t="shared" ca="1" si="7"/>
        <v/>
      </c>
    </row>
    <row r="41" spans="1:17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ca="1" si="6"/>
        <v/>
      </c>
      <c r="Q41" s="65" t="str">
        <f t="shared" ca="1" si="7"/>
        <v/>
      </c>
    </row>
    <row r="42" spans="1:17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ca="1" si="6"/>
        <v/>
      </c>
      <c r="Q42" s="65" t="str">
        <f t="shared" ca="1" si="7"/>
        <v/>
      </c>
    </row>
    <row r="43" spans="1:17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ca="1" si="6"/>
        <v/>
      </c>
      <c r="Q43" s="65" t="str">
        <f t="shared" ca="1" si="7"/>
        <v/>
      </c>
    </row>
    <row r="44" spans="1:17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ca="1" si="6"/>
        <v/>
      </c>
      <c r="Q44" s="65" t="str">
        <f t="shared" ca="1" si="7"/>
        <v/>
      </c>
    </row>
    <row r="45" spans="1:17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ca="1" si="6"/>
        <v/>
      </c>
      <c r="Q45" s="65" t="str">
        <f t="shared" ca="1" si="7"/>
        <v/>
      </c>
    </row>
    <row r="46" spans="1:17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ca="1" si="6"/>
        <v/>
      </c>
      <c r="Q46" s="65" t="str">
        <f t="shared" ca="1" si="7"/>
        <v/>
      </c>
    </row>
    <row r="47" spans="1:17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ca="1" si="6"/>
        <v/>
      </c>
      <c r="Q47" s="65" t="str">
        <f t="shared" ca="1" si="7"/>
        <v/>
      </c>
    </row>
    <row r="48" spans="1:17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ca="1" si="6"/>
        <v/>
      </c>
      <c r="Q48" s="65" t="str">
        <f t="shared" ca="1" si="7"/>
        <v/>
      </c>
    </row>
    <row r="49" spans="1:17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ca="1" si="6"/>
        <v/>
      </c>
      <c r="Q49" s="65" t="str">
        <f t="shared" ca="1" si="7"/>
        <v/>
      </c>
    </row>
    <row r="50" spans="1:17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ca="1" si="6"/>
        <v/>
      </c>
      <c r="Q50" s="65" t="str">
        <f t="shared" ca="1" si="7"/>
        <v/>
      </c>
    </row>
    <row r="51" spans="1:17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ca="1" si="6"/>
        <v/>
      </c>
      <c r="Q51" s="65" t="str">
        <f t="shared" ca="1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D64"/>
  <sheetViews>
    <sheetView workbookViewId="0">
      <pane ySplit="14" topLeftCell="C15" activePane="bottomLeft" state="frozen"/>
      <selection pane="bottomLeft" activeCell="C26" sqref="C26"/>
    </sheetView>
  </sheetViews>
  <sheetFormatPr defaultColWidth="9.140625"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 xr:uid="{00000000-0002-0000-03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D92"/>
  <sheetViews>
    <sheetView zoomScale="120" zoomScaleNormal="120" workbookViewId="0">
      <pane ySplit="14" topLeftCell="B15" activePane="bottomLeft" state="frozen"/>
      <selection pane="bottomLeft" activeCell="B26" sqref="B26"/>
    </sheetView>
  </sheetViews>
  <sheetFormatPr defaultColWidth="9.140625" defaultRowHeight="12.75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49</v>
      </c>
      <c r="F10" s="71">
        <f ca="1">IF(AND(SUM(OFFSET(F14,1,0,TaskRows,1))=0),0,SUM(OFFSET(F14,1,0,TaskRows,1)))</f>
        <v>41</v>
      </c>
      <c r="G10" s="71">
        <f t="shared" ref="G10:AD10" ca="1" si="0">IF(AND(SUM(OFFSET(G14,1,0,TaskRows,1))=0),"",SUM(OFFSET(G14,1,0,TaskRows,1)))</f>
        <v>35</v>
      </c>
      <c r="H10" s="71">
        <f t="shared" ca="1" si="0"/>
        <v>27.5</v>
      </c>
      <c r="I10" s="71">
        <f t="shared" ca="1" si="0"/>
        <v>21</v>
      </c>
      <c r="J10" s="71">
        <f t="shared" ca="1" si="0"/>
        <v>16.5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>
      <c r="A11" t="s">
        <v>103</v>
      </c>
      <c r="B11" s="2">
        <f>IF(COUNTA(A15:A247)=0,1,COUNTA(A15:A247))</f>
        <v>23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49</v>
      </c>
      <c r="G11" s="2">
        <f t="shared" ref="G11:AD11" ca="1" si="1">IF(G14="","",TotalEffort-TotalEffort/(ImplementationDays)*(G14-1))</f>
        <v>39.200000000000003</v>
      </c>
      <c r="H11" s="2">
        <f t="shared" ca="1" si="1"/>
        <v>29.4</v>
      </c>
      <c r="I11" s="2">
        <f t="shared" ca="1" si="1"/>
        <v>19.599999999999998</v>
      </c>
      <c r="J11" s="2">
        <f t="shared" ca="1" si="1"/>
        <v>9.7999999999999972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customFormat="1" hidden="1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40.799999999999997</v>
      </c>
      <c r="G12" s="2">
        <f t="shared" ca="1" si="2"/>
        <v>34.5</v>
      </c>
      <c r="H12" s="2">
        <f t="shared" ca="1" si="2"/>
        <v>28.199999999999996</v>
      </c>
      <c r="I12" s="2">
        <f t="shared" ca="1" si="2"/>
        <v>21.9</v>
      </c>
      <c r="J12" s="2">
        <f t="shared" ca="1" si="2"/>
        <v>15.600000000000001</v>
      </c>
      <c r="K12" s="2">
        <f t="shared" ca="1" si="2"/>
        <v>9.2999999999999972</v>
      </c>
      <c r="L12" s="2">
        <f t="shared" ca="1" si="2"/>
        <v>3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>
      <c r="A17" s="35" t="s">
        <v>120</v>
      </c>
      <c r="B17" s="34">
        <v>5</v>
      </c>
      <c r="C17" t="s">
        <v>121</v>
      </c>
      <c r="D17" s="35" t="s">
        <v>31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>
      <c r="A18" s="35" t="s">
        <v>122</v>
      </c>
      <c r="B18" s="34">
        <v>5</v>
      </c>
      <c r="C18" t="s">
        <v>123</v>
      </c>
      <c r="D18" s="35" t="s">
        <v>31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>
      <c r="A19" s="35" t="s">
        <v>124</v>
      </c>
      <c r="B19" s="34">
        <v>5</v>
      </c>
      <c r="C19" t="s">
        <v>125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7" si="4">IF(OR(AC$14="",$E19=""),"",AB19)</f>
        <v/>
      </c>
      <c r="AD19" s="34" t="str">
        <f t="shared" si="4"/>
        <v/>
      </c>
    </row>
    <row r="20" spans="1:30">
      <c r="A20" s="35" t="s">
        <v>126</v>
      </c>
      <c r="B20" s="34">
        <v>5</v>
      </c>
      <c r="C20" t="s">
        <v>123</v>
      </c>
      <c r="D20" s="35" t="s">
        <v>31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>
      <c r="A21" s="35" t="s">
        <v>127</v>
      </c>
      <c r="B21" s="34">
        <v>5</v>
      </c>
      <c r="C21" t="s">
        <v>125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>
      <c r="A22" s="35" t="s">
        <v>128</v>
      </c>
      <c r="B22" s="34">
        <v>5</v>
      </c>
      <c r="C22" t="s">
        <v>123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>
      <c r="A23" s="35" t="s">
        <v>129</v>
      </c>
      <c r="B23" s="34">
        <v>5</v>
      </c>
      <c r="C23" t="s">
        <v>130</v>
      </c>
      <c r="D23" s="35" t="s">
        <v>31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>
      <c r="A24" s="35" t="s">
        <v>131</v>
      </c>
      <c r="B24" s="34">
        <v>5</v>
      </c>
      <c r="C24" t="s">
        <v>132</v>
      </c>
      <c r="D24" s="35" t="s">
        <v>39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>
      <c r="A25" s="35" t="s">
        <v>133</v>
      </c>
      <c r="C25"/>
    </row>
    <row r="26" spans="1:30">
      <c r="A26" s="35" t="s">
        <v>133</v>
      </c>
      <c r="C26"/>
    </row>
    <row r="27" spans="1:30">
      <c r="A27" s="35" t="s">
        <v>134</v>
      </c>
      <c r="B27" s="34">
        <v>3</v>
      </c>
      <c r="C27" t="s">
        <v>121</v>
      </c>
      <c r="D27" s="35" t="s">
        <v>31</v>
      </c>
      <c r="E27" s="34">
        <v>3</v>
      </c>
      <c r="F27" s="34">
        <v>3</v>
      </c>
      <c r="G27" s="34">
        <v>3</v>
      </c>
      <c r="H27" s="34">
        <v>2</v>
      </c>
      <c r="I27" s="34">
        <v>1</v>
      </c>
      <c r="J27" s="34">
        <v>1</v>
      </c>
      <c r="AC27" s="34" t="str">
        <f t="shared" si="4"/>
        <v/>
      </c>
      <c r="AD27" s="34" t="str">
        <f t="shared" si="4"/>
        <v/>
      </c>
    </row>
    <row r="28" spans="1:30" ht="15" customHeight="1">
      <c r="A28" s="35" t="s">
        <v>135</v>
      </c>
      <c r="B28" s="34">
        <v>3</v>
      </c>
      <c r="C28" t="s">
        <v>123</v>
      </c>
      <c r="D28" s="35" t="s">
        <v>31</v>
      </c>
      <c r="E28" s="34">
        <v>5</v>
      </c>
      <c r="F28" s="34">
        <f t="shared" ref="F28:F36" si="5">IF(OR(F$14="",$E28=""),"",E28)</f>
        <v>5</v>
      </c>
      <c r="G28" s="34">
        <v>5</v>
      </c>
      <c r="H28" s="34">
        <v>3</v>
      </c>
      <c r="I28" s="34">
        <v>2</v>
      </c>
      <c r="J28" s="34">
        <v>2</v>
      </c>
      <c r="AC28" s="34" t="str">
        <f t="shared" si="4"/>
        <v/>
      </c>
      <c r="AD28" s="34" t="str">
        <f t="shared" si="4"/>
        <v/>
      </c>
    </row>
    <row r="29" spans="1:30" ht="15" customHeight="1">
      <c r="C29"/>
    </row>
    <row r="30" spans="1:30" ht="15" customHeight="1">
      <c r="A30" s="35" t="s">
        <v>136</v>
      </c>
      <c r="B30" s="34">
        <v>3</v>
      </c>
      <c r="C30" t="s">
        <v>137</v>
      </c>
      <c r="D30" s="35" t="s">
        <v>31</v>
      </c>
      <c r="E30" s="34">
        <v>1</v>
      </c>
      <c r="F30" s="34">
        <v>1</v>
      </c>
      <c r="G30" s="34">
        <v>1</v>
      </c>
      <c r="H30" s="34">
        <v>1</v>
      </c>
      <c r="I30" s="34">
        <v>0.5</v>
      </c>
      <c r="J30" s="34">
        <v>0.5</v>
      </c>
    </row>
    <row r="31" spans="1:30" ht="15" customHeight="1">
      <c r="A31" s="35" t="s">
        <v>138</v>
      </c>
      <c r="B31" s="34">
        <v>3</v>
      </c>
      <c r="C31" t="s">
        <v>137</v>
      </c>
      <c r="D31" s="35" t="s">
        <v>31</v>
      </c>
      <c r="E31" s="34">
        <v>2</v>
      </c>
      <c r="F31" s="34">
        <v>2</v>
      </c>
      <c r="G31" s="34">
        <v>2</v>
      </c>
      <c r="H31" s="34">
        <v>2</v>
      </c>
      <c r="I31" s="34">
        <v>1</v>
      </c>
      <c r="J31" s="34">
        <v>1</v>
      </c>
    </row>
    <row r="32" spans="1:30" ht="15" customHeight="1">
      <c r="A32" s="35" t="s">
        <v>139</v>
      </c>
      <c r="B32" s="34">
        <v>3</v>
      </c>
      <c r="C32" t="s">
        <v>137</v>
      </c>
      <c r="D32" s="35" t="s">
        <v>31</v>
      </c>
      <c r="E32" s="34">
        <v>3</v>
      </c>
      <c r="F32" s="34">
        <v>3</v>
      </c>
      <c r="G32" s="34">
        <v>3</v>
      </c>
      <c r="H32" s="34">
        <v>3</v>
      </c>
      <c r="I32" s="34">
        <v>2</v>
      </c>
      <c r="J32" s="34">
        <v>2</v>
      </c>
    </row>
    <row r="33" spans="1:30">
      <c r="A33" s="35" t="s">
        <v>140</v>
      </c>
      <c r="B33" s="34">
        <v>3</v>
      </c>
      <c r="C33" t="s">
        <v>137</v>
      </c>
      <c r="D33" s="35" t="s">
        <v>31</v>
      </c>
      <c r="E33" s="34">
        <v>3</v>
      </c>
      <c r="F33" s="34">
        <f t="shared" si="5"/>
        <v>3</v>
      </c>
      <c r="G33" s="34">
        <v>3</v>
      </c>
      <c r="H33" s="34">
        <v>2</v>
      </c>
      <c r="I33" s="34">
        <v>2</v>
      </c>
      <c r="J33" s="34">
        <v>1</v>
      </c>
      <c r="AC33" s="34" t="str">
        <f t="shared" si="4"/>
        <v/>
      </c>
      <c r="AD33" s="34" t="str">
        <f t="shared" si="4"/>
        <v/>
      </c>
    </row>
    <row r="34" spans="1:30">
      <c r="A34" s="35" t="s">
        <v>141</v>
      </c>
      <c r="B34" s="34">
        <v>5</v>
      </c>
      <c r="C34" t="s">
        <v>125</v>
      </c>
      <c r="D34" s="35" t="s">
        <v>24</v>
      </c>
      <c r="E34" s="34">
        <v>2</v>
      </c>
      <c r="F34" s="34">
        <v>0</v>
      </c>
      <c r="G34" s="34">
        <v>0</v>
      </c>
      <c r="H34" s="34">
        <v>0</v>
      </c>
      <c r="I34" s="34">
        <v>0</v>
      </c>
      <c r="J34" s="34">
        <v>0</v>
      </c>
      <c r="AC34" s="34" t="str">
        <f t="shared" si="4"/>
        <v/>
      </c>
      <c r="AD34" s="34" t="str">
        <f t="shared" si="4"/>
        <v/>
      </c>
    </row>
    <row r="35" spans="1:30">
      <c r="A35" s="35" t="s">
        <v>142</v>
      </c>
      <c r="B35" s="34">
        <v>5</v>
      </c>
      <c r="C35"/>
      <c r="D35" s="35" t="str">
        <f t="shared" ref="D35:D38" si="6">IF(A35&lt;&gt;"","Planned","")</f>
        <v>Planned</v>
      </c>
      <c r="F35" s="34" t="str">
        <f t="shared" si="5"/>
        <v/>
      </c>
      <c r="AC35" s="34" t="str">
        <f t="shared" si="4"/>
        <v/>
      </c>
      <c r="AD35" s="34" t="str">
        <f t="shared" si="4"/>
        <v/>
      </c>
    </row>
    <row r="36" spans="1:30">
      <c r="A36" s="35" t="s">
        <v>143</v>
      </c>
      <c r="B36" s="34">
        <v>5</v>
      </c>
      <c r="C36"/>
      <c r="D36" s="35" t="str">
        <f t="shared" si="6"/>
        <v>Planned</v>
      </c>
      <c r="F36" s="34" t="str">
        <f t="shared" si="5"/>
        <v/>
      </c>
      <c r="G36" s="34" t="str">
        <f t="shared" ref="G36:AB36" si="7">IF(OR(G$14="",$E36=""),"",F36)</f>
        <v/>
      </c>
      <c r="H36" s="34" t="str">
        <f t="shared" si="7"/>
        <v/>
      </c>
      <c r="I36" s="34" t="str">
        <f t="shared" si="7"/>
        <v/>
      </c>
      <c r="J36" s="34" t="str">
        <f t="shared" si="7"/>
        <v/>
      </c>
      <c r="K36" s="34" t="str">
        <f t="shared" si="7"/>
        <v/>
      </c>
      <c r="L36" s="34" t="str">
        <f t="shared" si="7"/>
        <v/>
      </c>
      <c r="M36" s="34" t="str">
        <f t="shared" si="7"/>
        <v/>
      </c>
      <c r="N36" s="34" t="str">
        <f t="shared" si="7"/>
        <v/>
      </c>
      <c r="O36" s="34" t="str">
        <f t="shared" si="7"/>
        <v/>
      </c>
      <c r="P36" s="34" t="str">
        <f t="shared" si="7"/>
        <v/>
      </c>
      <c r="Q36" s="34" t="str">
        <f t="shared" si="7"/>
        <v/>
      </c>
      <c r="R36" s="34" t="str">
        <f t="shared" si="7"/>
        <v/>
      </c>
      <c r="S36" s="34" t="str">
        <f t="shared" si="7"/>
        <v/>
      </c>
      <c r="T36" s="34" t="str">
        <f t="shared" si="7"/>
        <v/>
      </c>
      <c r="U36" s="34" t="str">
        <f t="shared" si="7"/>
        <v/>
      </c>
      <c r="V36" s="34" t="str">
        <f t="shared" si="7"/>
        <v/>
      </c>
      <c r="W36" s="34" t="str">
        <f t="shared" si="7"/>
        <v/>
      </c>
      <c r="X36" s="34" t="str">
        <f t="shared" si="7"/>
        <v/>
      </c>
      <c r="Y36" s="34" t="str">
        <f t="shared" si="7"/>
        <v/>
      </c>
      <c r="Z36" s="34" t="str">
        <f t="shared" si="7"/>
        <v/>
      </c>
      <c r="AA36" s="34" t="str">
        <f t="shared" si="7"/>
        <v/>
      </c>
      <c r="AB36" s="34" t="str">
        <f t="shared" si="7"/>
        <v/>
      </c>
      <c r="AC36" s="34" t="str">
        <f t="shared" si="4"/>
        <v/>
      </c>
      <c r="AD36" s="34" t="str">
        <f t="shared" si="4"/>
        <v/>
      </c>
    </row>
    <row r="37" spans="1:30">
      <c r="A37" s="35" t="s">
        <v>144</v>
      </c>
      <c r="B37" s="34">
        <v>5</v>
      </c>
      <c r="C37" t="s">
        <v>125</v>
      </c>
      <c r="D37" s="35" t="s">
        <v>31</v>
      </c>
      <c r="E37" s="34">
        <v>2</v>
      </c>
      <c r="F37" s="34">
        <v>1</v>
      </c>
      <c r="G37" s="34">
        <f t="shared" ref="G37:AB37" si="8">IF(OR(G$14="",$E37=""),"",F37)</f>
        <v>1</v>
      </c>
      <c r="H37" s="34">
        <f t="shared" si="8"/>
        <v>1</v>
      </c>
      <c r="I37" s="34">
        <f t="shared" si="8"/>
        <v>1</v>
      </c>
      <c r="J37" s="34">
        <f t="shared" si="8"/>
        <v>1</v>
      </c>
      <c r="K37" s="34" t="str">
        <f t="shared" si="8"/>
        <v/>
      </c>
      <c r="L37" s="34" t="str">
        <f t="shared" si="8"/>
        <v/>
      </c>
      <c r="M37" s="34" t="str">
        <f t="shared" si="8"/>
        <v/>
      </c>
      <c r="N37" s="34" t="str">
        <f t="shared" si="8"/>
        <v/>
      </c>
      <c r="O37" s="34" t="str">
        <f t="shared" si="8"/>
        <v/>
      </c>
      <c r="P37" s="34" t="str">
        <f t="shared" si="8"/>
        <v/>
      </c>
      <c r="Q37" s="34" t="str">
        <f t="shared" si="8"/>
        <v/>
      </c>
      <c r="R37" s="34" t="str">
        <f t="shared" si="8"/>
        <v/>
      </c>
      <c r="S37" s="34" t="str">
        <f t="shared" si="8"/>
        <v/>
      </c>
      <c r="T37" s="34" t="str">
        <f t="shared" si="8"/>
        <v/>
      </c>
      <c r="U37" s="34" t="str">
        <f t="shared" si="8"/>
        <v/>
      </c>
      <c r="V37" s="34" t="str">
        <f t="shared" si="8"/>
        <v/>
      </c>
      <c r="W37" s="34" t="str">
        <f t="shared" si="8"/>
        <v/>
      </c>
      <c r="X37" s="34" t="str">
        <f t="shared" si="8"/>
        <v/>
      </c>
      <c r="Y37" s="34" t="str">
        <f t="shared" si="8"/>
        <v/>
      </c>
      <c r="Z37" s="34" t="str">
        <f t="shared" si="8"/>
        <v/>
      </c>
      <c r="AA37" s="34" t="str">
        <f t="shared" si="8"/>
        <v/>
      </c>
      <c r="AB37" s="34" t="str">
        <f t="shared" si="8"/>
        <v/>
      </c>
      <c r="AC37" s="34" t="str">
        <f t="shared" si="4"/>
        <v/>
      </c>
      <c r="AD37" s="34" t="str">
        <f t="shared" si="4"/>
        <v/>
      </c>
    </row>
    <row r="38" spans="1:30">
      <c r="A38" s="35" t="s">
        <v>145</v>
      </c>
      <c r="B38" s="2"/>
      <c r="C38"/>
      <c r="D38" s="35" t="str">
        <f t="shared" si="6"/>
        <v>Planned</v>
      </c>
      <c r="E38" s="2"/>
      <c r="F38" s="2"/>
      <c r="G38" s="2"/>
      <c r="H38" s="2"/>
      <c r="I38" s="2"/>
    </row>
    <row r="39" spans="1:30">
      <c r="A39"/>
      <c r="B39" s="2"/>
      <c r="C39"/>
      <c r="D39"/>
      <c r="E39" s="2"/>
      <c r="F39" s="2"/>
      <c r="G39" s="2"/>
      <c r="H39" s="2"/>
      <c r="I39" s="2"/>
    </row>
    <row r="40" spans="1:30">
      <c r="A40"/>
      <c r="B40" s="2"/>
      <c r="C40"/>
      <c r="D40"/>
      <c r="E40" s="2"/>
      <c r="F40" s="2"/>
      <c r="G40" s="2"/>
      <c r="H40" s="2"/>
      <c r="I40" s="2"/>
      <c r="AC40" s="34" t="str">
        <f>IF(OR(AC$14="",$E40=""),"",AB40)</f>
        <v/>
      </c>
      <c r="AD40" s="34" t="str">
        <f>IF(OR(AD$14="",$E40=""),"",AC40)</f>
        <v/>
      </c>
    </row>
    <row r="41" spans="1:30">
      <c r="A41"/>
      <c r="B41" s="2"/>
      <c r="C41"/>
      <c r="D41"/>
      <c r="E41" s="2"/>
      <c r="F41" s="2"/>
      <c r="G41" s="2"/>
      <c r="H41" s="2"/>
      <c r="I41" s="2"/>
    </row>
    <row r="42" spans="1:30">
      <c r="A42"/>
      <c r="B42" s="2"/>
      <c r="C42"/>
      <c r="AC42" s="34" t="str">
        <f t="shared" ref="AC42:AD52" si="9">IF(OR(AC$14="",$E42=""),"",AB42)</f>
        <v/>
      </c>
      <c r="AD42" s="34" t="str">
        <f t="shared" si="9"/>
        <v/>
      </c>
    </row>
    <row r="43" spans="1:30">
      <c r="C43"/>
      <c r="AC43" s="34" t="str">
        <f t="shared" si="9"/>
        <v/>
      </c>
      <c r="AD43" s="34" t="str">
        <f t="shared" si="9"/>
        <v/>
      </c>
    </row>
    <row r="44" spans="1:30">
      <c r="C44"/>
      <c r="AC44" s="34" t="str">
        <f t="shared" si="9"/>
        <v/>
      </c>
      <c r="AD44" s="34" t="str">
        <f t="shared" si="9"/>
        <v/>
      </c>
    </row>
    <row r="45" spans="1:30">
      <c r="C45"/>
      <c r="AC45" s="34" t="str">
        <f t="shared" si="9"/>
        <v/>
      </c>
      <c r="AD45" s="34" t="str">
        <f t="shared" si="9"/>
        <v/>
      </c>
    </row>
    <row r="46" spans="1:30">
      <c r="C46"/>
      <c r="AC46" s="34" t="str">
        <f t="shared" si="9"/>
        <v/>
      </c>
      <c r="AD46" s="34" t="str">
        <f t="shared" si="9"/>
        <v/>
      </c>
    </row>
    <row r="47" spans="1:30">
      <c r="A47" s="32"/>
      <c r="C47"/>
      <c r="AC47" s="34" t="str">
        <f t="shared" si="9"/>
        <v/>
      </c>
      <c r="AD47" s="34" t="str">
        <f t="shared" si="9"/>
        <v/>
      </c>
    </row>
    <row r="48" spans="1:30">
      <c r="A48" s="32"/>
      <c r="C48"/>
      <c r="AC48" s="34" t="str">
        <f t="shared" si="9"/>
        <v/>
      </c>
      <c r="AD48" s="34" t="str">
        <f t="shared" si="9"/>
        <v/>
      </c>
    </row>
    <row r="49" spans="1:30">
      <c r="A49" s="32"/>
      <c r="C49"/>
      <c r="AC49" s="34" t="str">
        <f t="shared" si="9"/>
        <v/>
      </c>
      <c r="AD49" s="34" t="str">
        <f t="shared" si="9"/>
        <v/>
      </c>
    </row>
    <row r="50" spans="1:30">
      <c r="A50" s="32"/>
      <c r="C50"/>
      <c r="AC50" s="34" t="str">
        <f t="shared" si="9"/>
        <v/>
      </c>
      <c r="AD50" s="34" t="str">
        <f t="shared" si="9"/>
        <v/>
      </c>
    </row>
    <row r="51" spans="1:30">
      <c r="A51" s="32"/>
      <c r="C51"/>
      <c r="AC51" s="34" t="str">
        <f t="shared" si="9"/>
        <v/>
      </c>
      <c r="AD51" s="34" t="str">
        <f t="shared" si="9"/>
        <v/>
      </c>
    </row>
    <row r="52" spans="1:30">
      <c r="A52" s="32"/>
      <c r="C52"/>
      <c r="AC52" s="34" t="str">
        <f t="shared" si="9"/>
        <v/>
      </c>
      <c r="AD52" s="34" t="str">
        <f t="shared" si="9"/>
        <v/>
      </c>
    </row>
    <row r="53" spans="1:30">
      <c r="A53" s="32"/>
      <c r="C53"/>
    </row>
    <row r="54" spans="1:30">
      <c r="A54" s="32"/>
      <c r="C54"/>
      <c r="AC54" s="34" t="str">
        <f t="shared" ref="AC54:AD62" si="10">IF(OR(AC$14="",$E54=""),"",AB54)</f>
        <v/>
      </c>
      <c r="AD54" s="34" t="str">
        <f t="shared" si="10"/>
        <v/>
      </c>
    </row>
    <row r="55" spans="1:30">
      <c r="A55" s="32"/>
      <c r="C55"/>
      <c r="AC55" s="34" t="str">
        <f t="shared" si="10"/>
        <v/>
      </c>
      <c r="AD55" s="34" t="str">
        <f t="shared" si="10"/>
        <v/>
      </c>
    </row>
    <row r="56" spans="1:30">
      <c r="A56" s="32"/>
      <c r="C56"/>
      <c r="AC56" s="34" t="str">
        <f t="shared" si="10"/>
        <v/>
      </c>
      <c r="AD56" s="34" t="str">
        <f t="shared" si="10"/>
        <v/>
      </c>
    </row>
    <row r="57" spans="1:30">
      <c r="A57" s="32"/>
      <c r="C57"/>
      <c r="AC57" s="34" t="str">
        <f t="shared" si="10"/>
        <v/>
      </c>
      <c r="AD57" s="34" t="str">
        <f t="shared" si="10"/>
        <v/>
      </c>
    </row>
    <row r="58" spans="1:30">
      <c r="A58" s="32"/>
      <c r="C58"/>
      <c r="AC58" s="34" t="str">
        <f t="shared" si="10"/>
        <v/>
      </c>
      <c r="AD58" s="34" t="str">
        <f t="shared" si="10"/>
        <v/>
      </c>
    </row>
    <row r="59" spans="1:30">
      <c r="A59" s="32"/>
      <c r="C59"/>
      <c r="AC59" s="34" t="str">
        <f t="shared" si="10"/>
        <v/>
      </c>
      <c r="AD59" s="34" t="str">
        <f t="shared" si="10"/>
        <v/>
      </c>
    </row>
    <row r="60" spans="1:30">
      <c r="A60" s="32"/>
      <c r="C60"/>
      <c r="AC60" s="34" t="str">
        <f t="shared" si="10"/>
        <v/>
      </c>
      <c r="AD60" s="34" t="str">
        <f t="shared" si="10"/>
        <v/>
      </c>
    </row>
    <row r="61" spans="1:30">
      <c r="A61" s="32"/>
      <c r="C61"/>
      <c r="AC61" s="34" t="str">
        <f t="shared" si="10"/>
        <v/>
      </c>
      <c r="AD61" s="34" t="str">
        <f t="shared" si="10"/>
        <v/>
      </c>
    </row>
    <row r="62" spans="1:30">
      <c r="A62" s="32"/>
      <c r="C62"/>
      <c r="AC62" s="34" t="str">
        <f t="shared" si="10"/>
        <v/>
      </c>
      <c r="AD62" s="34" t="str">
        <f t="shared" si="10"/>
        <v/>
      </c>
    </row>
    <row r="63" spans="1:30">
      <c r="A63" s="32"/>
      <c r="C63"/>
    </row>
    <row r="64" spans="1:30">
      <c r="A64" s="32"/>
      <c r="C64"/>
      <c r="AC64" s="34" t="str">
        <f t="shared" ref="AC64:AD68" si="11">IF(OR(AC$14="",$E64=""),"",AB64)</f>
        <v/>
      </c>
      <c r="AD64" s="34" t="str">
        <f t="shared" si="11"/>
        <v/>
      </c>
    </row>
    <row r="65" spans="1:30">
      <c r="A65" s="32"/>
      <c r="C65"/>
      <c r="AC65" s="34" t="str">
        <f t="shared" si="11"/>
        <v/>
      </c>
      <c r="AD65" s="34" t="str">
        <f t="shared" si="11"/>
        <v/>
      </c>
    </row>
    <row r="66" spans="1:30">
      <c r="A66" s="32"/>
      <c r="C66"/>
      <c r="AC66" s="34" t="str">
        <f t="shared" si="11"/>
        <v/>
      </c>
      <c r="AD66" s="34" t="str">
        <f t="shared" si="11"/>
        <v/>
      </c>
    </row>
    <row r="67" spans="1:30">
      <c r="A67" s="32"/>
      <c r="C67"/>
      <c r="AC67" s="34" t="str">
        <f t="shared" si="11"/>
        <v/>
      </c>
      <c r="AD67" s="34" t="str">
        <f t="shared" si="11"/>
        <v/>
      </c>
    </row>
    <row r="68" spans="1:30">
      <c r="A68" s="32"/>
      <c r="C68"/>
      <c r="AC68" s="34" t="str">
        <f t="shared" si="11"/>
        <v/>
      </c>
      <c r="AD68" s="34" t="str">
        <f t="shared" si="11"/>
        <v/>
      </c>
    </row>
    <row r="69" spans="1:30">
      <c r="C69"/>
      <c r="D69" s="35" t="str">
        <f>IF(A69&lt;&gt;"","Planned","")</f>
        <v/>
      </c>
    </row>
    <row r="70" spans="1:30">
      <c r="C70"/>
    </row>
    <row r="71" spans="1:30">
      <c r="C71"/>
    </row>
    <row r="72" spans="1:30">
      <c r="C72"/>
    </row>
    <row r="73" spans="1:30">
      <c r="C73"/>
    </row>
    <row r="74" spans="1:30">
      <c r="C74"/>
    </row>
    <row r="75" spans="1:30">
      <c r="C75"/>
    </row>
    <row r="76" spans="1:30">
      <c r="C76"/>
    </row>
    <row r="77" spans="1:30">
      <c r="C77"/>
    </row>
    <row r="78" spans="1:30">
      <c r="C78"/>
    </row>
    <row r="79" spans="1:30">
      <c r="C79"/>
    </row>
    <row r="80" spans="1:30">
      <c r="C80"/>
    </row>
    <row r="81" spans="3:3">
      <c r="C81"/>
    </row>
    <row r="82" spans="3:3">
      <c r="C82"/>
    </row>
    <row r="83" spans="3:3">
      <c r="C83"/>
    </row>
    <row r="84" spans="3:3">
      <c r="C84"/>
    </row>
    <row r="85" spans="3:3">
      <c r="C85"/>
    </row>
    <row r="86" spans="3:3">
      <c r="C86"/>
    </row>
    <row r="87" spans="3:3">
      <c r="C87"/>
    </row>
    <row r="88" spans="3:3">
      <c r="C88"/>
    </row>
    <row r="89" spans="3:3">
      <c r="C89"/>
    </row>
    <row r="90" spans="3:3">
      <c r="C90"/>
    </row>
    <row r="91" spans="3:3">
      <c r="C91"/>
    </row>
    <row r="92" spans="3:3">
      <c r="C92"/>
    </row>
  </sheetData>
  <phoneticPr fontId="2" type="noConversion"/>
  <conditionalFormatting sqref="B15:AD16 A17:AD63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9" xr:uid="{00000000-0002-0000-04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D85"/>
  <sheetViews>
    <sheetView tabSelected="1" zoomScale="140" zoomScaleNormal="140" workbookViewId="0">
      <pane ySplit="14" topLeftCell="A44" activePane="bottomLeft" state="frozen"/>
      <selection pane="bottomLeft" activeCell="A52" sqref="A52"/>
    </sheetView>
  </sheetViews>
  <sheetFormatPr defaultColWidth="9.140625"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61</v>
      </c>
      <c r="F10" s="17">
        <f ca="1">IF(AND(SUM(OFFSET(F14,1,0,TaskRows,1))=0),0,SUM(OFFSET(F14,1,0,TaskRows,1)))</f>
        <v>50</v>
      </c>
      <c r="G10" s="17">
        <f t="shared" ref="G10:AD10" ca="1" si="0">IF(AND(SUM(OFFSET(G14,1,0,TaskRows,1))=0),"",SUM(OFFSET(G14,1,0,TaskRows,1)))</f>
        <v>35</v>
      </c>
      <c r="H10" s="17">
        <f t="shared" ca="1" si="0"/>
        <v>13.5</v>
      </c>
      <c r="I10" s="17">
        <f t="shared" ca="1" si="0"/>
        <v>3</v>
      </c>
      <c r="J10" s="17">
        <f t="shared" ca="1" si="0"/>
        <v>2.5</v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103</v>
      </c>
      <c r="B11" s="2">
        <f>IF(COUNTA(A15:A263)=0,1,COUNTA(A15:A263))</f>
        <v>41</v>
      </c>
      <c r="C11" t="s">
        <v>104</v>
      </c>
      <c r="D11" s="2">
        <f ca="1">IF(COUNTIF(F10:AD10,"&gt;0")=0,1,COUNTIF(F10:AD10,"&gt;0"))</f>
        <v>5</v>
      </c>
      <c r="F11" s="2">
        <f ca="1">IF(F14="","",$E10-$E10/($B9-1)*(F14-1))</f>
        <v>61</v>
      </c>
      <c r="G11" s="2">
        <f t="shared" ref="G11:AD11" ca="1" si="1">IF(G14="","",TotalEffort-TotalEffort/(ImplementationDays)*(G14-1))</f>
        <v>48.8</v>
      </c>
      <c r="H11" s="2">
        <f t="shared" ca="1" si="1"/>
        <v>36.6</v>
      </c>
      <c r="I11" s="2">
        <f t="shared" ca="1" si="1"/>
        <v>24.400000000000006</v>
      </c>
      <c r="J11" s="2">
        <f t="shared" ca="1" si="1"/>
        <v>12.200000000000003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46.199999999999996</v>
      </c>
      <c r="G12" s="2">
        <f t="shared" ca="1" si="2"/>
        <v>33.5</v>
      </c>
      <c r="H12" s="2">
        <f t="shared" ca="1" si="2"/>
        <v>20.799999999999997</v>
      </c>
      <c r="I12" s="2">
        <f t="shared" ca="1" si="2"/>
        <v>8.1000000000000014</v>
      </c>
      <c r="J12" s="2" t="str">
        <f t="shared" ca="1" si="2"/>
        <v/>
      </c>
      <c r="K12" s="2" t="str">
        <f t="shared" ca="1" si="2"/>
        <v/>
      </c>
      <c r="L12" s="2" t="str">
        <f t="shared" ca="1" si="2"/>
        <v/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hidden="1">
      <c r="A13" s="56" t="s">
        <v>106</v>
      </c>
      <c r="B13"/>
      <c r="C13" t="s">
        <v>107</v>
      </c>
      <c r="D13" s="2">
        <f ca="1">IF(DoneDays&gt;B10,B10,DoneDays)</f>
        <v>5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A15" s="35" t="s">
        <v>129</v>
      </c>
      <c r="B15" s="34">
        <v>5</v>
      </c>
      <c r="C15" t="s">
        <v>130</v>
      </c>
      <c r="D15" s="35" t="s">
        <v>31</v>
      </c>
      <c r="E15" s="34">
        <v>1</v>
      </c>
      <c r="F15" s="34">
        <v>1</v>
      </c>
      <c r="G15" s="34">
        <v>1</v>
      </c>
      <c r="H15" s="34">
        <v>0.5</v>
      </c>
      <c r="I15" s="34">
        <v>0.5</v>
      </c>
      <c r="J15" s="34">
        <v>0.5</v>
      </c>
      <c r="AC15" s="2" t="str">
        <f t="shared" ref="AC15:AD56" si="4">IF(OR(AC$14="",$E15=""),"",AB15)</f>
        <v/>
      </c>
      <c r="AD15" s="2" t="str">
        <f t="shared" si="4"/>
        <v/>
      </c>
    </row>
    <row r="16" spans="1:30">
      <c r="A16" s="35" t="s">
        <v>131</v>
      </c>
      <c r="B16" s="34">
        <v>5</v>
      </c>
      <c r="C16" t="s">
        <v>123</v>
      </c>
      <c r="D16" s="35" t="s">
        <v>39</v>
      </c>
      <c r="E16" s="34">
        <v>3</v>
      </c>
      <c r="F16" s="34"/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>
      <c r="A17" s="35" t="s">
        <v>134</v>
      </c>
      <c r="B17" s="34">
        <v>3</v>
      </c>
      <c r="C17" t="s">
        <v>121</v>
      </c>
      <c r="D17" s="35" t="s">
        <v>31</v>
      </c>
      <c r="E17" s="34">
        <v>1</v>
      </c>
      <c r="F17" s="34"/>
      <c r="G17" s="34"/>
      <c r="H17" s="34"/>
      <c r="I17" s="34"/>
      <c r="J17" s="34"/>
      <c r="AC17" s="2" t="str">
        <f t="shared" si="4"/>
        <v/>
      </c>
      <c r="AD17" s="2" t="str">
        <f t="shared" si="4"/>
        <v/>
      </c>
    </row>
    <row r="18" spans="1:30">
      <c r="A18" s="35" t="s">
        <v>135</v>
      </c>
      <c r="B18" s="34">
        <v>3</v>
      </c>
      <c r="C18" t="s">
        <v>123</v>
      </c>
      <c r="D18" s="35" t="s">
        <v>31</v>
      </c>
      <c r="E18" s="34">
        <v>5</v>
      </c>
      <c r="F18" s="34">
        <v>4</v>
      </c>
      <c r="G18" s="34">
        <v>3</v>
      </c>
      <c r="H18" s="34"/>
      <c r="I18" s="34"/>
      <c r="J18" s="34"/>
      <c r="AC18" s="2" t="str">
        <f t="shared" si="4"/>
        <v/>
      </c>
      <c r="AD18" s="2" t="str">
        <f t="shared" si="4"/>
        <v/>
      </c>
    </row>
    <row r="19" spans="1:30">
      <c r="A19" s="35" t="s">
        <v>146</v>
      </c>
      <c r="B19" s="34">
        <v>3</v>
      </c>
      <c r="C19" t="s">
        <v>132</v>
      </c>
      <c r="D19" s="35" t="s">
        <v>147</v>
      </c>
      <c r="E19" s="34">
        <v>2</v>
      </c>
      <c r="F19" s="34">
        <v>2</v>
      </c>
      <c r="G19" s="34">
        <v>2</v>
      </c>
      <c r="H19" s="34">
        <v>2</v>
      </c>
      <c r="I19" s="34">
        <v>0</v>
      </c>
      <c r="J19" s="34">
        <v>0</v>
      </c>
      <c r="AC19" s="2" t="str">
        <f t="shared" si="4"/>
        <v/>
      </c>
      <c r="AD19" s="2" t="str">
        <f t="shared" si="4"/>
        <v/>
      </c>
    </row>
    <row r="20" spans="1:30">
      <c r="A20" s="35" t="s">
        <v>148</v>
      </c>
      <c r="B20" s="34"/>
      <c r="C20" t="s">
        <v>137</v>
      </c>
      <c r="D20" s="35" t="s">
        <v>147</v>
      </c>
      <c r="E20" s="34">
        <v>1</v>
      </c>
      <c r="F20" s="34">
        <v>0</v>
      </c>
      <c r="G20" s="34">
        <v>0</v>
      </c>
      <c r="H20" s="34">
        <v>0</v>
      </c>
      <c r="I20" s="34">
        <v>0</v>
      </c>
      <c r="J20" s="34">
        <v>0</v>
      </c>
      <c r="AC20" s="2" t="str">
        <f t="shared" si="4"/>
        <v/>
      </c>
      <c r="AD20" s="2" t="str">
        <f t="shared" si="4"/>
        <v/>
      </c>
    </row>
    <row r="21" spans="1:30">
      <c r="A21" s="35" t="s">
        <v>149</v>
      </c>
      <c r="B21" s="34"/>
      <c r="C21" t="s">
        <v>132</v>
      </c>
      <c r="D21" s="35" t="s">
        <v>31</v>
      </c>
      <c r="E21" s="34">
        <v>2</v>
      </c>
      <c r="F21" s="34">
        <v>2</v>
      </c>
      <c r="G21" s="34">
        <v>2</v>
      </c>
      <c r="H21" s="34">
        <v>2</v>
      </c>
      <c r="I21" s="34">
        <v>0.5</v>
      </c>
      <c r="J21" s="34">
        <v>0.5</v>
      </c>
      <c r="AC21" s="2" t="str">
        <f t="shared" si="4"/>
        <v/>
      </c>
      <c r="AD21" s="2" t="str">
        <f t="shared" si="4"/>
        <v/>
      </c>
    </row>
    <row r="22" spans="1:30">
      <c r="A22" s="35" t="s">
        <v>140</v>
      </c>
      <c r="B22" s="34">
        <v>3</v>
      </c>
      <c r="C22" t="s">
        <v>137</v>
      </c>
      <c r="D22" s="35" t="s">
        <v>31</v>
      </c>
      <c r="E22" s="34">
        <v>0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>
      <c r="A23" s="35" t="s">
        <v>150</v>
      </c>
      <c r="B23" s="34">
        <v>3</v>
      </c>
      <c r="C23" t="s">
        <v>137</v>
      </c>
      <c r="D23" s="35" t="s">
        <v>39</v>
      </c>
      <c r="E23" s="34">
        <v>3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>
      <c r="A24" s="35" t="s">
        <v>151</v>
      </c>
      <c r="B24" s="34"/>
      <c r="C24" t="s">
        <v>137</v>
      </c>
      <c r="D24" s="35" t="s">
        <v>39</v>
      </c>
      <c r="E24" s="34">
        <v>2</v>
      </c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>
      <c r="A25" s="35" t="s">
        <v>152</v>
      </c>
      <c r="B25" s="34"/>
      <c r="C25" t="s">
        <v>132</v>
      </c>
      <c r="D25" s="35" t="s">
        <v>24</v>
      </c>
      <c r="E25" s="34">
        <v>3</v>
      </c>
      <c r="F25" s="34">
        <v>3</v>
      </c>
      <c r="G25" s="34">
        <v>3</v>
      </c>
      <c r="H25" s="34">
        <v>3</v>
      </c>
      <c r="I25" s="34">
        <v>0</v>
      </c>
      <c r="J25" s="34">
        <v>0</v>
      </c>
      <c r="AC25" s="2" t="str">
        <f t="shared" si="4"/>
        <v/>
      </c>
      <c r="AD25" s="2" t="str">
        <f t="shared" si="4"/>
        <v/>
      </c>
    </row>
    <row r="26" spans="1:30">
      <c r="A26" s="35" t="s">
        <v>142</v>
      </c>
      <c r="B26" s="34">
        <v>5</v>
      </c>
      <c r="D26" s="35" t="s">
        <v>31</v>
      </c>
      <c r="E26" s="34"/>
      <c r="F26" s="34"/>
      <c r="G26" s="34"/>
      <c r="H26" s="34"/>
      <c r="I26" s="34"/>
      <c r="J26" s="34"/>
      <c r="AC26" s="2" t="str">
        <f t="shared" si="4"/>
        <v/>
      </c>
      <c r="AD26" s="2" t="str">
        <f t="shared" si="4"/>
        <v/>
      </c>
    </row>
    <row r="27" spans="1:30">
      <c r="A27" s="35" t="s">
        <v>153</v>
      </c>
      <c r="B27" s="34"/>
      <c r="C27" t="s">
        <v>154</v>
      </c>
      <c r="D27" s="35" t="s">
        <v>31</v>
      </c>
      <c r="E27" s="34">
        <v>5</v>
      </c>
      <c r="F27" s="34">
        <v>5</v>
      </c>
      <c r="G27" s="34">
        <v>2</v>
      </c>
      <c r="H27" s="34"/>
      <c r="I27" s="34"/>
      <c r="J27" s="34"/>
    </row>
    <row r="28" spans="1:30">
      <c r="A28" s="35" t="s">
        <v>155</v>
      </c>
      <c r="B28" s="34"/>
      <c r="C28" t="s">
        <v>132</v>
      </c>
      <c r="D28" s="35" t="s">
        <v>31</v>
      </c>
      <c r="E28" s="34">
        <v>5</v>
      </c>
      <c r="F28" s="34">
        <v>5</v>
      </c>
      <c r="G28" s="34">
        <v>5</v>
      </c>
      <c r="H28" s="34"/>
      <c r="I28" s="34"/>
      <c r="J28" s="34"/>
    </row>
    <row r="29" spans="1:30">
      <c r="A29" s="35" t="s">
        <v>156</v>
      </c>
      <c r="B29" s="34"/>
      <c r="C29" t="s">
        <v>125</v>
      </c>
      <c r="D29" s="35" t="s">
        <v>31</v>
      </c>
      <c r="E29" s="34">
        <v>3</v>
      </c>
      <c r="F29" s="34">
        <v>3</v>
      </c>
      <c r="G29" s="34">
        <v>0.5</v>
      </c>
      <c r="H29" s="34"/>
      <c r="I29" s="34"/>
      <c r="J29" s="34"/>
    </row>
    <row r="30" spans="1:30">
      <c r="A30" s="35" t="s">
        <v>157</v>
      </c>
      <c r="B30" s="34"/>
      <c r="C30" t="s">
        <v>125</v>
      </c>
      <c r="D30" s="35" t="s">
        <v>31</v>
      </c>
      <c r="E30" s="34">
        <v>1</v>
      </c>
      <c r="F30" s="34">
        <v>1</v>
      </c>
      <c r="G30" s="34">
        <v>0</v>
      </c>
      <c r="H30" s="34"/>
      <c r="I30" s="34"/>
      <c r="J30" s="34"/>
    </row>
    <row r="31" spans="1:30">
      <c r="A31" s="35" t="s">
        <v>158</v>
      </c>
      <c r="B31" s="34"/>
      <c r="C31" t="s">
        <v>125</v>
      </c>
      <c r="D31" s="35" t="s">
        <v>31</v>
      </c>
      <c r="E31" s="34">
        <v>1</v>
      </c>
      <c r="F31" s="34">
        <v>1</v>
      </c>
      <c r="G31" s="34">
        <v>0</v>
      </c>
      <c r="H31" s="34"/>
      <c r="I31" s="34"/>
      <c r="J31" s="34"/>
    </row>
    <row r="32" spans="1:30">
      <c r="A32" s="35" t="s">
        <v>159</v>
      </c>
      <c r="B32" s="34"/>
      <c r="C32" t="s">
        <v>154</v>
      </c>
      <c r="D32" s="35" t="s">
        <v>31</v>
      </c>
      <c r="E32" s="34">
        <v>5</v>
      </c>
      <c r="F32" s="34">
        <v>5</v>
      </c>
      <c r="G32" s="34">
        <v>3</v>
      </c>
      <c r="H32" s="34"/>
      <c r="I32" s="34"/>
      <c r="J32" s="34"/>
    </row>
    <row r="33" spans="1:30">
      <c r="A33" s="35" t="s">
        <v>160</v>
      </c>
      <c r="B33" s="34"/>
      <c r="C33" t="s">
        <v>154</v>
      </c>
      <c r="D33" s="35" t="s">
        <v>31</v>
      </c>
      <c r="E33" s="34">
        <v>5</v>
      </c>
      <c r="F33" s="34">
        <v>5</v>
      </c>
      <c r="G33" s="34">
        <v>3</v>
      </c>
      <c r="H33" s="34"/>
      <c r="I33" s="34"/>
      <c r="J33" s="34"/>
    </row>
    <row r="34" spans="1:30">
      <c r="A34" s="35" t="s">
        <v>161</v>
      </c>
      <c r="B34" s="34"/>
      <c r="C34" t="s">
        <v>154</v>
      </c>
      <c r="D34" s="35" t="s">
        <v>31</v>
      </c>
      <c r="E34" s="34">
        <v>1</v>
      </c>
      <c r="F34" s="34">
        <v>1</v>
      </c>
      <c r="G34" s="34">
        <v>0.5</v>
      </c>
      <c r="H34" s="34"/>
      <c r="I34" s="34"/>
      <c r="J34" s="34"/>
    </row>
    <row r="35" spans="1:30">
      <c r="A35" s="35"/>
      <c r="B35" s="34"/>
      <c r="D35" s="35"/>
      <c r="E35" s="34"/>
      <c r="F35" s="34"/>
      <c r="G35" s="34"/>
      <c r="H35" s="34"/>
      <c r="I35" s="34"/>
      <c r="J35" s="34"/>
    </row>
    <row r="36" spans="1:30">
      <c r="A36" s="35" t="s">
        <v>162</v>
      </c>
      <c r="B36" s="34">
        <v>5</v>
      </c>
      <c r="C36" t="s">
        <v>137</v>
      </c>
      <c r="D36" s="35" t="s">
        <v>24</v>
      </c>
      <c r="E36" s="34">
        <v>2</v>
      </c>
      <c r="F36" s="34">
        <v>2</v>
      </c>
      <c r="G36" s="34">
        <v>1</v>
      </c>
      <c r="H36" s="34">
        <v>0</v>
      </c>
      <c r="I36" s="34">
        <v>0</v>
      </c>
      <c r="J36" s="34">
        <v>0</v>
      </c>
    </row>
    <row r="37" spans="1:30">
      <c r="A37" s="35" t="s">
        <v>163</v>
      </c>
      <c r="B37" s="34">
        <v>5</v>
      </c>
      <c r="C37" t="s">
        <v>137</v>
      </c>
      <c r="D37" s="35" t="s">
        <v>147</v>
      </c>
      <c r="E37" s="34">
        <v>1</v>
      </c>
      <c r="F37" s="34">
        <v>1</v>
      </c>
      <c r="G37" s="34">
        <v>1</v>
      </c>
      <c r="H37" s="34">
        <v>0</v>
      </c>
      <c r="I37" s="34">
        <v>0</v>
      </c>
      <c r="J37" s="34">
        <v>0</v>
      </c>
    </row>
    <row r="38" spans="1:30">
      <c r="A38" s="35" t="s">
        <v>164</v>
      </c>
      <c r="B38" s="34">
        <v>5</v>
      </c>
      <c r="C38" t="s">
        <v>137</v>
      </c>
      <c r="D38" s="35" t="s">
        <v>24</v>
      </c>
      <c r="E38" s="34">
        <v>1</v>
      </c>
      <c r="F38" s="34">
        <v>1</v>
      </c>
      <c r="G38" s="34">
        <v>0</v>
      </c>
      <c r="H38" s="34">
        <v>0</v>
      </c>
      <c r="I38" s="34">
        <v>0</v>
      </c>
      <c r="J38" s="34">
        <v>0</v>
      </c>
    </row>
    <row r="39" spans="1:30">
      <c r="A39" s="35" t="s">
        <v>143</v>
      </c>
      <c r="B39" s="34">
        <v>5</v>
      </c>
      <c r="C39" t="s">
        <v>137</v>
      </c>
      <c r="D39" s="35" t="s">
        <v>24</v>
      </c>
      <c r="E39" s="34">
        <v>3</v>
      </c>
      <c r="F39" s="34">
        <v>3</v>
      </c>
      <c r="G39" s="34">
        <v>3</v>
      </c>
      <c r="H39" s="34">
        <v>2</v>
      </c>
      <c r="I39" s="34">
        <v>1</v>
      </c>
      <c r="J39" s="34">
        <v>0</v>
      </c>
      <c r="AC39" s="2" t="str">
        <f t="shared" si="4"/>
        <v/>
      </c>
      <c r="AD39" s="2" t="str">
        <f t="shared" si="4"/>
        <v/>
      </c>
    </row>
    <row r="40" spans="1:30">
      <c r="A40" s="35" t="s">
        <v>144</v>
      </c>
      <c r="B40" s="34">
        <v>7</v>
      </c>
      <c r="C40" t="s">
        <v>125</v>
      </c>
      <c r="D40" s="35" t="s">
        <v>24</v>
      </c>
      <c r="E40" s="34">
        <v>1</v>
      </c>
      <c r="F40" s="34">
        <v>1</v>
      </c>
      <c r="G40" s="34">
        <v>1</v>
      </c>
      <c r="H40" s="34">
        <v>1</v>
      </c>
      <c r="I40" s="34">
        <v>0</v>
      </c>
      <c r="J40" s="34">
        <v>0</v>
      </c>
      <c r="AC40" s="2" t="str">
        <f t="shared" si="4"/>
        <v/>
      </c>
      <c r="AD40" s="2" t="str">
        <f t="shared" si="4"/>
        <v/>
      </c>
    </row>
    <row r="41" spans="1:30">
      <c r="A41" s="35" t="s">
        <v>165</v>
      </c>
      <c r="B41" s="2">
        <v>7</v>
      </c>
      <c r="C41" t="s">
        <v>137</v>
      </c>
      <c r="D41" s="35" t="s">
        <v>24</v>
      </c>
      <c r="E41" s="2">
        <v>3</v>
      </c>
      <c r="F41" s="2">
        <v>3</v>
      </c>
      <c r="G41" s="2">
        <v>3</v>
      </c>
      <c r="H41" s="2">
        <v>2</v>
      </c>
      <c r="I41" s="2">
        <v>1</v>
      </c>
      <c r="J41" s="34">
        <v>0</v>
      </c>
      <c r="AC41" s="2" t="str">
        <f t="shared" si="4"/>
        <v/>
      </c>
      <c r="AD41" s="2" t="str">
        <f t="shared" si="4"/>
        <v/>
      </c>
    </row>
    <row r="42" spans="1:30">
      <c r="A42" s="35" t="s">
        <v>166</v>
      </c>
      <c r="C42" t="s">
        <v>137</v>
      </c>
      <c r="D42" t="s">
        <v>147</v>
      </c>
      <c r="E42" s="2">
        <v>1</v>
      </c>
      <c r="F42" s="2">
        <f t="shared" ref="F42:F58" si="5">IF(OR(F$14="",$E42=""),"",E42)</f>
        <v>1</v>
      </c>
      <c r="G42" s="2">
        <v>1</v>
      </c>
      <c r="H42" s="2">
        <v>1</v>
      </c>
      <c r="I42" s="2">
        <v>0</v>
      </c>
      <c r="J42" s="2">
        <v>0</v>
      </c>
      <c r="AC42" s="2" t="str">
        <f t="shared" si="4"/>
        <v/>
      </c>
      <c r="AD42" s="2" t="str">
        <f t="shared" si="4"/>
        <v/>
      </c>
    </row>
    <row r="43" spans="1:30">
      <c r="A43" s="35"/>
    </row>
    <row r="44" spans="1:30">
      <c r="A44" s="35" t="s">
        <v>167</v>
      </c>
      <c r="C44" t="s">
        <v>137</v>
      </c>
      <c r="D44" t="s">
        <v>31</v>
      </c>
    </row>
    <row r="45" spans="1:30">
      <c r="A45" s="35" t="s">
        <v>168</v>
      </c>
      <c r="J45" s="2">
        <v>0.5</v>
      </c>
      <c r="K45" s="2">
        <v>0</v>
      </c>
    </row>
    <row r="46" spans="1:30">
      <c r="A46" s="35" t="s">
        <v>169</v>
      </c>
      <c r="J46" s="2">
        <v>1</v>
      </c>
      <c r="K46" s="2">
        <v>0</v>
      </c>
    </row>
    <row r="47" spans="1:30">
      <c r="A47" s="35" t="s">
        <v>170</v>
      </c>
    </row>
    <row r="48" spans="1:30">
      <c r="A48" s="35"/>
    </row>
    <row r="49" spans="1:30">
      <c r="A49" s="35" t="s">
        <v>171</v>
      </c>
      <c r="B49" s="2">
        <v>7</v>
      </c>
      <c r="C49" t="s">
        <v>137</v>
      </c>
    </row>
    <row r="50" spans="1:30">
      <c r="A50" s="35" t="s">
        <v>172</v>
      </c>
    </row>
    <row r="51" spans="1:30">
      <c r="A51" s="35" t="s">
        <v>173</v>
      </c>
    </row>
    <row r="52" spans="1:30">
      <c r="D52" t="str">
        <f t="shared" ref="D42:D56" si="6">IF(A52&lt;&gt;"","Planned","")</f>
        <v/>
      </c>
      <c r="F52" s="2" t="str">
        <f t="shared" si="5"/>
        <v/>
      </c>
      <c r="AC52" s="2" t="str">
        <f t="shared" si="4"/>
        <v/>
      </c>
      <c r="AD52" s="2" t="str">
        <f t="shared" si="4"/>
        <v/>
      </c>
    </row>
    <row r="53" spans="1:30">
      <c r="A53" t="s">
        <v>174</v>
      </c>
      <c r="D53" t="str">
        <f t="shared" si="6"/>
        <v>Planned</v>
      </c>
      <c r="F53" s="2" t="str">
        <f t="shared" si="5"/>
        <v/>
      </c>
      <c r="AC53" s="2" t="str">
        <f t="shared" si="4"/>
        <v/>
      </c>
      <c r="AD53" s="2" t="str">
        <f t="shared" si="4"/>
        <v/>
      </c>
    </row>
    <row r="54" spans="1:30">
      <c r="A54" t="s">
        <v>175</v>
      </c>
      <c r="D54" t="str">
        <f t="shared" si="6"/>
        <v>Planned</v>
      </c>
      <c r="F54" s="2" t="str">
        <f t="shared" si="5"/>
        <v/>
      </c>
      <c r="AC54" s="2" t="str">
        <f t="shared" si="4"/>
        <v/>
      </c>
      <c r="AD54" s="2" t="str">
        <f t="shared" si="4"/>
        <v/>
      </c>
    </row>
    <row r="55" spans="1:30">
      <c r="A55" t="s">
        <v>176</v>
      </c>
      <c r="D55" t="str">
        <f t="shared" si="6"/>
        <v>Planned</v>
      </c>
      <c r="F55" s="2" t="str">
        <f t="shared" si="5"/>
        <v/>
      </c>
      <c r="G55" s="2" t="str">
        <f t="shared" ref="G55:AB55" si="7">IF(OR(G$14="",$E55=""),"",F55)</f>
        <v/>
      </c>
      <c r="H55" s="2" t="str">
        <f t="shared" si="7"/>
        <v/>
      </c>
      <c r="I55" s="2" t="str">
        <f t="shared" si="7"/>
        <v/>
      </c>
      <c r="J55" s="2" t="str">
        <f t="shared" si="7"/>
        <v/>
      </c>
      <c r="K55" s="2" t="str">
        <f t="shared" si="7"/>
        <v/>
      </c>
      <c r="L55" s="2" t="str">
        <f t="shared" si="7"/>
        <v/>
      </c>
      <c r="M55" s="2" t="str">
        <f t="shared" si="7"/>
        <v/>
      </c>
      <c r="N55" s="2" t="str">
        <f t="shared" si="7"/>
        <v/>
      </c>
      <c r="O55" s="2" t="str">
        <f t="shared" si="7"/>
        <v/>
      </c>
      <c r="P55" s="2" t="str">
        <f t="shared" si="7"/>
        <v/>
      </c>
      <c r="Q55" s="2" t="str">
        <f t="shared" si="7"/>
        <v/>
      </c>
      <c r="R55" s="2" t="str">
        <f t="shared" si="7"/>
        <v/>
      </c>
      <c r="S55" s="2" t="str">
        <f t="shared" si="7"/>
        <v/>
      </c>
      <c r="T55" s="2" t="str">
        <f t="shared" si="7"/>
        <v/>
      </c>
      <c r="U55" s="2" t="str">
        <f t="shared" si="7"/>
        <v/>
      </c>
      <c r="V55" s="2" t="str">
        <f t="shared" si="7"/>
        <v/>
      </c>
      <c r="W55" s="2" t="str">
        <f t="shared" si="7"/>
        <v/>
      </c>
      <c r="X55" s="2" t="str">
        <f t="shared" si="7"/>
        <v/>
      </c>
      <c r="Y55" s="2" t="str">
        <f t="shared" si="7"/>
        <v/>
      </c>
      <c r="Z55" s="2" t="str">
        <f t="shared" si="7"/>
        <v/>
      </c>
      <c r="AA55" s="2" t="str">
        <f t="shared" si="7"/>
        <v/>
      </c>
      <c r="AB55" s="2" t="str">
        <f t="shared" si="7"/>
        <v/>
      </c>
      <c r="AC55" s="2" t="str">
        <f t="shared" si="4"/>
        <v/>
      </c>
      <c r="AD55" s="2" t="str">
        <f t="shared" si="4"/>
        <v/>
      </c>
    </row>
    <row r="56" spans="1:30">
      <c r="A56" t="s">
        <v>177</v>
      </c>
      <c r="D56" t="str">
        <f t="shared" si="6"/>
        <v>Planned</v>
      </c>
      <c r="F56" s="2" t="str">
        <f t="shared" si="5"/>
        <v/>
      </c>
      <c r="G56" s="2" t="str">
        <f t="shared" ref="G56:AB56" si="8">IF(OR(G$14="",$E56=""),"",F56)</f>
        <v/>
      </c>
      <c r="H56" s="2" t="str">
        <f t="shared" si="8"/>
        <v/>
      </c>
      <c r="I56" s="2" t="str">
        <f t="shared" si="8"/>
        <v/>
      </c>
      <c r="J56" s="2" t="str">
        <f t="shared" si="8"/>
        <v/>
      </c>
      <c r="K56" s="2" t="str">
        <f t="shared" si="8"/>
        <v/>
      </c>
      <c r="L56" s="2" t="str">
        <f t="shared" si="8"/>
        <v/>
      </c>
      <c r="M56" s="2" t="str">
        <f t="shared" si="8"/>
        <v/>
      </c>
      <c r="N56" s="2" t="str">
        <f t="shared" si="8"/>
        <v/>
      </c>
      <c r="O56" s="2" t="str">
        <f t="shared" si="8"/>
        <v/>
      </c>
      <c r="P56" s="2" t="str">
        <f t="shared" si="8"/>
        <v/>
      </c>
      <c r="Q56" s="2" t="str">
        <f t="shared" si="8"/>
        <v/>
      </c>
      <c r="R56" s="2" t="str">
        <f t="shared" si="8"/>
        <v/>
      </c>
      <c r="S56" s="2" t="str">
        <f t="shared" si="8"/>
        <v/>
      </c>
      <c r="T56" s="2" t="str">
        <f t="shared" si="8"/>
        <v/>
      </c>
      <c r="U56" s="2" t="str">
        <f t="shared" si="8"/>
        <v/>
      </c>
      <c r="V56" s="2" t="str">
        <f t="shared" si="8"/>
        <v/>
      </c>
      <c r="W56" s="2" t="str">
        <f t="shared" si="8"/>
        <v/>
      </c>
      <c r="X56" s="2" t="str">
        <f t="shared" si="8"/>
        <v/>
      </c>
      <c r="Y56" s="2" t="str">
        <f t="shared" si="8"/>
        <v/>
      </c>
      <c r="Z56" s="2" t="str">
        <f t="shared" si="8"/>
        <v/>
      </c>
      <c r="AA56" s="2" t="str">
        <f t="shared" si="8"/>
        <v/>
      </c>
      <c r="AB56" s="2" t="str">
        <f t="shared" si="8"/>
        <v/>
      </c>
      <c r="AC56" s="2" t="str">
        <f t="shared" si="4"/>
        <v/>
      </c>
      <c r="AD56" s="2" t="str">
        <f t="shared" si="4"/>
        <v/>
      </c>
    </row>
    <row r="57" spans="1:30">
      <c r="A57" t="s">
        <v>178</v>
      </c>
      <c r="E57" s="2">
        <v>0</v>
      </c>
      <c r="F57" s="2">
        <f t="shared" si="5"/>
        <v>0</v>
      </c>
    </row>
    <row r="58" spans="1:30">
      <c r="A58" t="s">
        <v>179</v>
      </c>
      <c r="E58" s="2">
        <v>0</v>
      </c>
      <c r="F58" s="2">
        <f t="shared" si="5"/>
        <v>0</v>
      </c>
      <c r="AC58" s="2" t="str">
        <f t="shared" ref="AC58:AD80" si="9">IF(OR(AC$14="",$E58=""),"",AB58)</f>
        <v/>
      </c>
      <c r="AD58" s="2" t="str">
        <f t="shared" si="9"/>
        <v/>
      </c>
    </row>
    <row r="59" spans="1:30">
      <c r="A59" t="s">
        <v>180</v>
      </c>
      <c r="AC59" s="2" t="str">
        <f t="shared" si="9"/>
        <v/>
      </c>
      <c r="AD59" s="2" t="str">
        <f t="shared" si="9"/>
        <v/>
      </c>
    </row>
    <row r="60" spans="1:30">
      <c r="AC60" s="2" t="str">
        <f t="shared" si="9"/>
        <v/>
      </c>
      <c r="AD60" s="2" t="str">
        <f t="shared" si="9"/>
        <v/>
      </c>
    </row>
    <row r="61" spans="1:30">
      <c r="AC61" s="2" t="str">
        <f t="shared" si="9"/>
        <v/>
      </c>
      <c r="AD61" s="2" t="str">
        <f t="shared" si="9"/>
        <v/>
      </c>
    </row>
    <row r="62" spans="1:30">
      <c r="AC62" s="2" t="str">
        <f t="shared" si="9"/>
        <v/>
      </c>
      <c r="AD62" s="2" t="str">
        <f t="shared" si="9"/>
        <v/>
      </c>
    </row>
    <row r="63" spans="1:30">
      <c r="D63" s="35"/>
      <c r="E63" s="34"/>
      <c r="AC63" s="2" t="str">
        <f t="shared" si="9"/>
        <v/>
      </c>
      <c r="AD63" s="2" t="str">
        <f t="shared" si="9"/>
        <v/>
      </c>
    </row>
    <row r="64" spans="1:30">
      <c r="A64" s="35"/>
      <c r="B64" s="34"/>
      <c r="D64" s="35"/>
      <c r="E64" s="34"/>
      <c r="AC64" s="2" t="str">
        <f t="shared" si="9"/>
        <v/>
      </c>
      <c r="AD64" s="2" t="str">
        <f t="shared" si="9"/>
        <v/>
      </c>
    </row>
    <row r="65" spans="1:30">
      <c r="A65" s="35"/>
      <c r="B65" s="34"/>
      <c r="D65" s="35"/>
      <c r="E65" s="34"/>
      <c r="AC65" s="2" t="str">
        <f t="shared" si="9"/>
        <v/>
      </c>
      <c r="AD65" s="2" t="str">
        <f t="shared" si="9"/>
        <v/>
      </c>
    </row>
    <row r="66" spans="1:30">
      <c r="A66" s="35"/>
      <c r="B66" s="34"/>
      <c r="D66" s="35"/>
      <c r="E66" s="34"/>
      <c r="AC66" s="2" t="str">
        <f t="shared" si="9"/>
        <v/>
      </c>
      <c r="AD66" s="2" t="str">
        <f t="shared" si="9"/>
        <v/>
      </c>
    </row>
    <row r="67" spans="1:30">
      <c r="A67" s="35"/>
      <c r="B67" s="34"/>
      <c r="D67" s="35"/>
      <c r="E67" s="34"/>
      <c r="AC67" s="2" t="str">
        <f t="shared" si="9"/>
        <v/>
      </c>
      <c r="AD67" s="2" t="str">
        <f t="shared" si="9"/>
        <v/>
      </c>
    </row>
    <row r="68" spans="1:30">
      <c r="AC68" s="2" t="str">
        <f t="shared" si="9"/>
        <v/>
      </c>
      <c r="AD68" s="2" t="str">
        <f t="shared" si="9"/>
        <v/>
      </c>
    </row>
    <row r="69" spans="1:30">
      <c r="AC69" s="2" t="str">
        <f t="shared" si="9"/>
        <v/>
      </c>
      <c r="AD69" s="2" t="str">
        <f t="shared" si="9"/>
        <v/>
      </c>
    </row>
    <row r="70" spans="1:30">
      <c r="AC70" s="2" t="str">
        <f t="shared" si="9"/>
        <v/>
      </c>
      <c r="AD70" s="2" t="str">
        <f t="shared" si="9"/>
        <v/>
      </c>
    </row>
    <row r="71" spans="1:30">
      <c r="AC71" s="2" t="str">
        <f t="shared" si="9"/>
        <v/>
      </c>
      <c r="AD71" s="2" t="str">
        <f t="shared" si="9"/>
        <v/>
      </c>
    </row>
    <row r="72" spans="1:30">
      <c r="AC72" s="2" t="str">
        <f t="shared" si="9"/>
        <v/>
      </c>
      <c r="AD72" s="2" t="str">
        <f t="shared" si="9"/>
        <v/>
      </c>
    </row>
    <row r="73" spans="1:30">
      <c r="AC73" s="2" t="str">
        <f t="shared" si="9"/>
        <v/>
      </c>
      <c r="AD73" s="2" t="str">
        <f t="shared" si="9"/>
        <v/>
      </c>
    </row>
    <row r="74" spans="1:30">
      <c r="AC74" s="2" t="str">
        <f t="shared" si="9"/>
        <v/>
      </c>
      <c r="AD74" s="2" t="str">
        <f t="shared" si="9"/>
        <v/>
      </c>
    </row>
    <row r="75" spans="1:30">
      <c r="AC75" s="2" t="str">
        <f t="shared" si="9"/>
        <v/>
      </c>
      <c r="AD75" s="2" t="str">
        <f t="shared" si="9"/>
        <v/>
      </c>
    </row>
    <row r="76" spans="1:30">
      <c r="AC76" s="2" t="str">
        <f t="shared" si="9"/>
        <v/>
      </c>
      <c r="AD76" s="2" t="str">
        <f t="shared" si="9"/>
        <v/>
      </c>
    </row>
    <row r="77" spans="1:30">
      <c r="AC77" s="2" t="str">
        <f t="shared" si="9"/>
        <v/>
      </c>
      <c r="AD77" s="2" t="str">
        <f t="shared" si="9"/>
        <v/>
      </c>
    </row>
    <row r="78" spans="1:30">
      <c r="AC78" s="2" t="str">
        <f t="shared" si="9"/>
        <v/>
      </c>
      <c r="AD78" s="2" t="str">
        <f t="shared" si="9"/>
        <v/>
      </c>
    </row>
    <row r="79" spans="1:30">
      <c r="AC79" s="2" t="str">
        <f t="shared" si="9"/>
        <v/>
      </c>
      <c r="AD79" s="2" t="str">
        <f t="shared" si="9"/>
        <v/>
      </c>
    </row>
    <row r="80" spans="1:30">
      <c r="AC80" s="2" t="str">
        <f t="shared" si="9"/>
        <v/>
      </c>
      <c r="AD80" s="2" t="str">
        <f t="shared" si="9"/>
        <v/>
      </c>
    </row>
    <row r="85" spans="4:4">
      <c r="D85" t="str">
        <f>IF(A85&lt;&gt;"","Planned","")</f>
        <v/>
      </c>
    </row>
  </sheetData>
  <conditionalFormatting sqref="A36:AD79 B33:C35 A34:A35 A27:C32 D27:AD35 A15:AD26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3">
    <cfRule type="expression" dxfId="11" priority="122" stopIfTrue="1">
      <formula>$D34="Done"</formula>
    </cfRule>
    <cfRule type="expression" dxfId="10" priority="123" stopIfTrue="1">
      <formula>$D34="Ongoing"</formula>
    </cfRule>
  </conditionalFormatting>
  <dataValidations count="1">
    <dataValidation type="list" allowBlank="1" showInputMessage="1" sqref="D3:D8 D15:D85" xr:uid="{00000000-0002-0000-05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defaultColWidth="9.140625"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>
      <c r="E56" s="2">
        <v>0</v>
      </c>
      <c r="F56" s="2">
        <f t="shared" si="5"/>
        <v>0</v>
      </c>
    </row>
    <row r="57" spans="4:30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 xr:uid="{00000000-0002-0000-06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defaultColWidth="9.140625" defaultRowHeight="12.75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ca="1" si="1"/>
        <v/>
      </c>
      <c r="L11" s="2" t="str">
        <f t="shared" ca="1" si="1"/>
        <v/>
      </c>
      <c r="M11" s="2" t="str">
        <f t="shared" ca="1" si="1"/>
        <v/>
      </c>
      <c r="N11" s="2" t="str">
        <f t="shared" ca="1" si="1"/>
        <v/>
      </c>
      <c r="O11" s="2" t="str">
        <f t="shared" ca="1" si="1"/>
        <v/>
      </c>
      <c r="P11" s="2" t="str">
        <f t="shared" ca="1" si="1"/>
        <v/>
      </c>
      <c r="Q11" s="2" t="str">
        <f t="shared" ca="1" si="1"/>
        <v/>
      </c>
      <c r="R11" s="2" t="str">
        <f t="shared" ca="1" si="1"/>
        <v/>
      </c>
      <c r="S11" s="2" t="str">
        <f t="shared" ca="1" si="1"/>
        <v/>
      </c>
      <c r="T11" s="2" t="str">
        <f t="shared" ca="1" si="1"/>
        <v/>
      </c>
      <c r="U11" s="2" t="str">
        <f t="shared" ca="1" si="1"/>
        <v/>
      </c>
      <c r="V11" s="2" t="str">
        <f t="shared" ca="1" si="1"/>
        <v/>
      </c>
      <c r="W11" s="2" t="str">
        <f t="shared" ca="1" si="1"/>
        <v/>
      </c>
      <c r="X11" s="2" t="str">
        <f t="shared" ca="1" si="1"/>
        <v/>
      </c>
      <c r="Y11" s="2" t="str">
        <f t="shared" ca="1" si="1"/>
        <v/>
      </c>
      <c r="Z11" s="2" t="str">
        <f t="shared" ca="1" si="1"/>
        <v/>
      </c>
      <c r="AA11" s="2" t="str">
        <f t="shared" ca="1" si="1"/>
        <v/>
      </c>
      <c r="AB11" s="2" t="str">
        <f t="shared" ca="1" si="1"/>
        <v/>
      </c>
      <c r="AC11" s="2" t="str">
        <f t="shared" ca="1" si="1"/>
        <v/>
      </c>
      <c r="AD11" s="2" t="str">
        <f t="shared" ca="1" si="1"/>
        <v/>
      </c>
    </row>
    <row r="12" spans="1:30" hidden="1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 xr:uid="{00000000-0002-0000-0700-000000000000}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2:A10"/>
  <sheetViews>
    <sheetView zoomScale="145" zoomScaleNormal="145" workbookViewId="0"/>
  </sheetViews>
  <sheetFormatPr defaultColWidth="9.140625" defaultRowHeight="12.75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/>
    <row r="10" ht="89.25" customHeight="1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SysOpen Digia Plc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/>
  <cp:revision>1</cp:revision>
  <dcterms:created xsi:type="dcterms:W3CDTF">1998-06-05T11:20:44Z</dcterms:created>
  <dcterms:modified xsi:type="dcterms:W3CDTF">2020-02-24T00:46:14Z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