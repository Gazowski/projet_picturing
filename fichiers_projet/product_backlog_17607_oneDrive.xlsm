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1895410\Desktop\"/>
    </mc:Choice>
  </mc:AlternateContent>
  <bookViews>
    <workbookView xWindow="-120" yWindow="-120" windowWidth="15600" windowHeight="11760" tabRatio="522" firstSheet="2" activeTab="6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'Sp2'!$A$14:$AD$104</definedName>
    <definedName name="SprintTasks" localSheetId="6">'Sp3'!$A$14:$AD$30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'Sp2'!$D$14:$D$99</definedName>
    <definedName name="TaskStatus" localSheetId="6">'Sp3'!$D$14:$D$30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'Sp2'!$B$14:$B$94</definedName>
    <definedName name="TaskStoryID" localSheetId="6">'Sp3'!$B$14:$B$30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G14" i="23"/>
  <c r="B11" i="23"/>
  <c r="D105" i="22"/>
  <c r="F61" i="22"/>
  <c r="F59" i="22"/>
  <c r="F58" i="22"/>
  <c r="F57" i="22"/>
  <c r="F56" i="22"/>
  <c r="D56" i="22"/>
  <c r="F45" i="22"/>
  <c r="F64" i="22"/>
  <c r="F63" i="22"/>
  <c r="G14" i="22"/>
  <c r="H14" i="22" s="1"/>
  <c r="B11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G59" i="16"/>
  <c r="N43" i="20"/>
  <c r="N34" i="20"/>
  <c r="Q10" i="16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N33" i="20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F28" i="20"/>
  <c r="B29" i="20"/>
  <c r="I14" i="16"/>
  <c r="I59" i="16"/>
  <c r="K28" i="20"/>
  <c r="G28" i="20"/>
  <c r="W10" i="16"/>
  <c r="H10" i="16"/>
  <c r="D5" i="7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B26" i="7"/>
  <c r="A25" i="7"/>
  <c r="E25" i="7"/>
  <c r="D25" i="7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E33" i="20"/>
  <c r="B34" i="20"/>
  <c r="I33" i="20"/>
  <c r="H33" i="20"/>
  <c r="F33" i="20"/>
  <c r="D28" i="7"/>
  <c r="A28" i="7"/>
  <c r="E28" i="7"/>
  <c r="B29" i="7"/>
  <c r="K32" i="20"/>
  <c r="G32" i="20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B35" i="20"/>
  <c r="I34" i="20"/>
  <c r="H34" i="20"/>
  <c r="E34" i="20"/>
  <c r="F34" i="20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B39" i="20"/>
  <c r="E38" i="20"/>
  <c r="I38" i="20"/>
  <c r="H38" i="20"/>
  <c r="F38" i="20"/>
  <c r="G38" i="20"/>
  <c r="K38" i="20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K39" i="20"/>
  <c r="G39" i="20"/>
  <c r="F41" i="20"/>
  <c r="I41" i="20"/>
  <c r="H41" i="20"/>
  <c r="B42" i="20"/>
  <c r="E41" i="20"/>
  <c r="K40" i="20"/>
  <c r="G40" i="20"/>
  <c r="V14" i="16"/>
  <c r="U58" i="16"/>
  <c r="U11" i="16"/>
  <c r="U59" i="16"/>
  <c r="E42" i="20"/>
  <c r="F42" i="20"/>
  <c r="I42" i="20"/>
  <c r="H42" i="20"/>
  <c r="B43" i="20"/>
  <c r="G41" i="20"/>
  <c r="K41" i="20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G42" i="20"/>
  <c r="K42" i="20"/>
  <c r="X58" i="16"/>
  <c r="Y14" i="16"/>
  <c r="X11" i="16"/>
  <c r="X59" i="16"/>
  <c r="G43" i="20"/>
  <c r="K43" i="20"/>
  <c r="E44" i="20"/>
  <c r="F44" i="20"/>
  <c r="I44" i="20"/>
  <c r="H44" i="20"/>
  <c r="B45" i="20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E47" i="20"/>
  <c r="F47" i="20"/>
  <c r="I47" i="20"/>
  <c r="H47" i="20"/>
  <c r="B48" i="20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G47" i="20"/>
  <c r="K47" i="20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G59" i="22" l="1"/>
  <c r="H14" i="23"/>
  <c r="I14" i="23" s="1"/>
  <c r="J14" i="23" s="1"/>
  <c r="K14" i="23" s="1"/>
  <c r="E10" i="23"/>
  <c r="G11" i="23" s="1"/>
  <c r="F10" i="23"/>
  <c r="G10" i="23"/>
  <c r="F10" i="19"/>
  <c r="G10" i="19"/>
  <c r="E10" i="22"/>
  <c r="F11" i="22" s="1"/>
  <c r="F10" i="22"/>
  <c r="I14" i="22"/>
  <c r="H61" i="22"/>
  <c r="H59" i="22"/>
  <c r="G61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K11" i="19"/>
  <c r="D11" i="16"/>
  <c r="D13" i="16" s="1"/>
  <c r="J11" i="16"/>
  <c r="H11" i="16"/>
  <c r="G11" i="16"/>
  <c r="F11" i="16"/>
  <c r="O49" i="20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K11" i="23" l="1"/>
  <c r="I11" i="23"/>
  <c r="L14" i="23"/>
  <c r="L11" i="23" s="1"/>
  <c r="H11" i="23"/>
  <c r="F11" i="23"/>
  <c r="J11" i="23"/>
  <c r="J10" i="23"/>
  <c r="L10" i="23"/>
  <c r="I59" i="22"/>
  <c r="M37" i="20"/>
  <c r="G11" i="22"/>
  <c r="I11" i="22"/>
  <c r="H11" i="22"/>
  <c r="J14" i="22"/>
  <c r="I61" i="22"/>
  <c r="H10" i="22"/>
  <c r="G10" i="22"/>
  <c r="F13" i="16"/>
  <c r="H12" i="16" s="1"/>
  <c r="M38" i="20"/>
  <c r="L14" i="19"/>
  <c r="K37" i="19"/>
  <c r="K36" i="19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M14" i="23" l="1"/>
  <c r="N14" i="23" s="1"/>
  <c r="K10" i="23"/>
  <c r="I10" i="23"/>
  <c r="H10" i="23"/>
  <c r="J59" i="22"/>
  <c r="J61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L37" i="19"/>
  <c r="L36" i="19"/>
  <c r="M14" i="19"/>
  <c r="L11" i="19"/>
  <c r="D12" i="20"/>
  <c r="G9" i="20"/>
  <c r="D22" i="20"/>
  <c r="J58" i="24"/>
  <c r="J59" i="24"/>
  <c r="K14" i="24"/>
  <c r="J11" i="24"/>
  <c r="M10" i="23" l="1"/>
  <c r="M11" i="23"/>
  <c r="N11" i="23"/>
  <c r="O14" i="23"/>
  <c r="K11" i="22"/>
  <c r="L14" i="22"/>
  <c r="K61" i="22"/>
  <c r="K59" i="22"/>
  <c r="K10" i="22" s="1"/>
  <c r="L10" i="19"/>
  <c r="M11" i="19"/>
  <c r="N14" i="19"/>
  <c r="M37" i="19"/>
  <c r="M36" i="19"/>
  <c r="M10" i="19" s="1"/>
  <c r="K59" i="24"/>
  <c r="L14" i="24"/>
  <c r="K11" i="24"/>
  <c r="K58" i="24"/>
  <c r="N10" i="23" l="1"/>
  <c r="O11" i="23"/>
  <c r="P14" i="23"/>
  <c r="L11" i="22"/>
  <c r="L61" i="22"/>
  <c r="L10" i="22" s="1"/>
  <c r="M14" i="22"/>
  <c r="N37" i="19"/>
  <c r="O14" i="19"/>
  <c r="N36" i="19"/>
  <c r="N11" i="19"/>
  <c r="M14" i="24"/>
  <c r="L11" i="24"/>
  <c r="L58" i="24"/>
  <c r="L59" i="24"/>
  <c r="O10" i="23" l="1"/>
  <c r="P10" i="23"/>
  <c r="Q14" i="23"/>
  <c r="P11" i="23"/>
  <c r="M59" i="22"/>
  <c r="M61" i="22"/>
  <c r="M11" i="22"/>
  <c r="N14" i="22"/>
  <c r="N10" i="19"/>
  <c r="P14" i="19"/>
  <c r="O37" i="19"/>
  <c r="O36" i="19"/>
  <c r="O11" i="19"/>
  <c r="M58" i="24"/>
  <c r="M59" i="24"/>
  <c r="M11" i="24"/>
  <c r="N14" i="24"/>
  <c r="Q10" i="23" l="1"/>
  <c r="Q11" i="23"/>
  <c r="R14" i="23"/>
  <c r="M10" i="22"/>
  <c r="O10" i="19"/>
  <c r="N59" i="22"/>
  <c r="N61" i="22"/>
  <c r="O14" i="22"/>
  <c r="N11" i="22"/>
  <c r="P36" i="19"/>
  <c r="P37" i="19"/>
  <c r="P11" i="19"/>
  <c r="Q14" i="19"/>
  <c r="N59" i="24"/>
  <c r="O14" i="24"/>
  <c r="N11" i="24"/>
  <c r="N58" i="24"/>
  <c r="R11" i="23" l="1"/>
  <c r="S14" i="23"/>
  <c r="N10" i="22"/>
  <c r="P14" i="22"/>
  <c r="O59" i="22"/>
  <c r="O10" i="22" s="1"/>
  <c r="O11" i="22"/>
  <c r="Q11" i="19"/>
  <c r="Q37" i="19"/>
  <c r="Q36" i="19"/>
  <c r="R14" i="19"/>
  <c r="P10" i="19"/>
  <c r="O59" i="24"/>
  <c r="P14" i="24"/>
  <c r="O11" i="24"/>
  <c r="O58" i="24"/>
  <c r="T14" i="23" l="1"/>
  <c r="S11" i="23"/>
  <c r="R10" i="23"/>
  <c r="P61" i="22"/>
  <c r="Q14" i="22"/>
  <c r="P11" i="22"/>
  <c r="P59" i="22"/>
  <c r="Q10" i="19"/>
  <c r="S14" i="19"/>
  <c r="R37" i="19"/>
  <c r="R11" i="19"/>
  <c r="R36" i="19"/>
  <c r="Q14" i="24"/>
  <c r="P11" i="24"/>
  <c r="P58" i="24"/>
  <c r="P59" i="24"/>
  <c r="S10" i="23" l="1"/>
  <c r="U14" i="23"/>
  <c r="T11" i="23"/>
  <c r="P10" i="22"/>
  <c r="R14" i="22"/>
  <c r="Q59" i="22"/>
  <c r="Q61" i="22"/>
  <c r="Q11" i="22"/>
  <c r="R10" i="19"/>
  <c r="S36" i="19"/>
  <c r="S11" i="19"/>
  <c r="S37" i="19"/>
  <c r="T14" i="19"/>
  <c r="Q58" i="24"/>
  <c r="Q59" i="24"/>
  <c r="R14" i="24"/>
  <c r="Q11" i="24"/>
  <c r="T10" i="23" l="1"/>
  <c r="U11" i="23"/>
  <c r="V14" i="23"/>
  <c r="Q10" i="22"/>
  <c r="R11" i="22"/>
  <c r="S14" i="22"/>
  <c r="R61" i="22"/>
  <c r="R59" i="22"/>
  <c r="T37" i="19"/>
  <c r="T11" i="19"/>
  <c r="T36" i="19"/>
  <c r="U14" i="19"/>
  <c r="S10" i="19"/>
  <c r="R59" i="24"/>
  <c r="S14" i="24"/>
  <c r="R11" i="24"/>
  <c r="R58" i="24"/>
  <c r="U10" i="23" l="1"/>
  <c r="W14" i="23"/>
  <c r="V11" i="23"/>
  <c r="R10" i="22"/>
  <c r="S61" i="22"/>
  <c r="T14" i="22"/>
  <c r="S59" i="22"/>
  <c r="S10" i="22" s="1"/>
  <c r="S11" i="22"/>
  <c r="U11" i="19"/>
  <c r="U36" i="19"/>
  <c r="U37" i="19"/>
  <c r="V14" i="19"/>
  <c r="T10" i="19"/>
  <c r="S59" i="24"/>
  <c r="T14" i="24"/>
  <c r="S11" i="24"/>
  <c r="S58" i="24"/>
  <c r="V10" i="23" l="1"/>
  <c r="W11" i="23"/>
  <c r="X14" i="23"/>
  <c r="U10" i="19"/>
  <c r="T59" i="22"/>
  <c r="T11" i="22"/>
  <c r="U14" i="22"/>
  <c r="T61" i="22"/>
  <c r="V36" i="19"/>
  <c r="V11" i="19"/>
  <c r="V37" i="19"/>
  <c r="V10" i="19" s="1"/>
  <c r="W14" i="19"/>
  <c r="U14" i="24"/>
  <c r="T11" i="24"/>
  <c r="T58" i="24"/>
  <c r="T59" i="24"/>
  <c r="Y14" i="23" l="1"/>
  <c r="X11" i="23"/>
  <c r="W10" i="23"/>
  <c r="T10" i="22"/>
  <c r="U61" i="22"/>
  <c r="U11" i="22"/>
  <c r="U59" i="22"/>
  <c r="V14" i="22"/>
  <c r="W36" i="19"/>
  <c r="W11" i="19"/>
  <c r="W37" i="19"/>
  <c r="W10" i="19" s="1"/>
  <c r="X14" i="19"/>
  <c r="U58" i="24"/>
  <c r="U59" i="24"/>
  <c r="V14" i="24"/>
  <c r="U11" i="24"/>
  <c r="X10" i="23" l="1"/>
  <c r="U10" i="22"/>
  <c r="Z14" i="23"/>
  <c r="Y11" i="23"/>
  <c r="W14" i="22"/>
  <c r="V11" i="22"/>
  <c r="V59" i="22"/>
  <c r="V61" i="22"/>
  <c r="X11" i="19"/>
  <c r="X36" i="19"/>
  <c r="X37" i="19"/>
  <c r="X10" i="19" s="1"/>
  <c r="Y14" i="19"/>
  <c r="V59" i="24"/>
  <c r="W14" i="24"/>
  <c r="V11" i="24"/>
  <c r="V58" i="24"/>
  <c r="AA14" i="23" l="1"/>
  <c r="Z11" i="23"/>
  <c r="Y10" i="23"/>
  <c r="V10" i="22"/>
  <c r="W11" i="22"/>
  <c r="W61" i="22"/>
  <c r="W59" i="22"/>
  <c r="X14" i="22"/>
  <c r="Y11" i="19"/>
  <c r="Z14" i="19"/>
  <c r="Y36" i="19"/>
  <c r="Y37" i="19"/>
  <c r="W59" i="24"/>
  <c r="X14" i="24"/>
  <c r="W11" i="24"/>
  <c r="W58" i="24"/>
  <c r="W10" i="22" l="1"/>
  <c r="Z10" i="23"/>
  <c r="AB14" i="23"/>
  <c r="AA11" i="23"/>
  <c r="Y14" i="22"/>
  <c r="X61" i="22"/>
  <c r="X59" i="22"/>
  <c r="X11" i="22"/>
  <c r="Y10" i="19"/>
  <c r="Z36" i="19"/>
  <c r="Z37" i="19"/>
  <c r="AA14" i="19"/>
  <c r="Z11" i="19"/>
  <c r="Y14" i="24"/>
  <c r="X11" i="24"/>
  <c r="X58" i="24"/>
  <c r="X59" i="24"/>
  <c r="X10" i="22" l="1"/>
  <c r="AA10" i="23"/>
  <c r="AB11" i="23"/>
  <c r="AC14" i="23"/>
  <c r="Y11" i="22"/>
  <c r="Y61" i="22"/>
  <c r="Y59" i="22"/>
  <c r="Z14" i="22"/>
  <c r="AA37" i="19"/>
  <c r="AA36" i="19"/>
  <c r="AB14" i="19"/>
  <c r="AA11" i="19"/>
  <c r="Z10" i="19"/>
  <c r="Y58" i="24"/>
  <c r="Y59" i="24"/>
  <c r="Z14" i="24"/>
  <c r="Y11" i="24"/>
  <c r="AC26" i="23" l="1"/>
  <c r="AC27" i="23"/>
  <c r="Y10" i="22"/>
  <c r="AB10" i="23"/>
  <c r="AC29" i="23"/>
  <c r="AC22" i="23"/>
  <c r="AC24" i="23"/>
  <c r="AC11" i="23"/>
  <c r="AC25" i="23"/>
  <c r="AC30" i="23"/>
  <c r="AC15" i="23"/>
  <c r="AD14" i="23"/>
  <c r="AC21" i="23"/>
  <c r="AC23" i="23"/>
  <c r="AC28" i="23"/>
  <c r="AC16" i="23"/>
  <c r="Z11" i="22"/>
  <c r="Z59" i="22"/>
  <c r="Z61" i="22"/>
  <c r="AA14" i="22"/>
  <c r="AB11" i="19"/>
  <c r="AB36" i="19"/>
  <c r="AB37" i="19"/>
  <c r="AC14" i="19"/>
  <c r="AA10" i="19"/>
  <c r="Z59" i="24"/>
  <c r="AA14" i="24"/>
  <c r="Z11" i="24"/>
  <c r="Z58" i="24"/>
  <c r="AD26" i="23" l="1"/>
  <c r="AD27" i="23"/>
  <c r="AD16" i="23"/>
  <c r="AD15" i="23"/>
  <c r="AD24" i="23"/>
  <c r="AD30" i="23"/>
  <c r="AD23" i="23"/>
  <c r="AD28" i="23"/>
  <c r="AD29" i="23"/>
  <c r="AD25" i="23"/>
  <c r="AD21" i="23"/>
  <c r="AD22" i="23"/>
  <c r="AD11" i="23"/>
  <c r="Z10" i="22"/>
  <c r="AB14" i="22"/>
  <c r="AA11" i="22"/>
  <c r="AA59" i="22"/>
  <c r="AA61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A10" i="22" l="1"/>
  <c r="AC14" i="22"/>
  <c r="AB59" i="22"/>
  <c r="AB11" i="22"/>
  <c r="AB61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B10" i="22" l="1"/>
  <c r="AC20" i="22"/>
  <c r="AC25" i="22"/>
  <c r="AC19" i="22"/>
  <c r="AC65" i="22"/>
  <c r="AC94" i="22"/>
  <c r="AC56" i="22"/>
  <c r="AC11" i="22"/>
  <c r="AC18" i="22"/>
  <c r="AC83" i="22"/>
  <c r="AC89" i="22"/>
  <c r="AC67" i="22"/>
  <c r="AC59" i="22"/>
  <c r="AC95" i="22"/>
  <c r="AC96" i="22"/>
  <c r="AC15" i="22"/>
  <c r="AC21" i="22"/>
  <c r="AC58" i="22"/>
  <c r="AC91" i="22"/>
  <c r="AC90" i="22"/>
  <c r="AC92" i="22"/>
  <c r="AC45" i="22"/>
  <c r="AC61" i="22"/>
  <c r="AC16" i="22"/>
  <c r="AC78" i="22"/>
  <c r="AC43" i="22"/>
  <c r="AC86" i="22"/>
  <c r="AC17" i="22"/>
  <c r="AC84" i="22"/>
  <c r="AC87" i="22"/>
  <c r="AC66" i="22"/>
  <c r="AC99" i="22"/>
  <c r="AC85" i="22"/>
  <c r="AC44" i="22"/>
  <c r="AC98" i="22"/>
  <c r="AC64" i="22"/>
  <c r="AC93" i="22"/>
  <c r="AD14" i="22"/>
  <c r="AC42" i="22"/>
  <c r="AC27" i="22"/>
  <c r="AC97" i="22"/>
  <c r="AC100" i="22"/>
  <c r="AC57" i="22"/>
  <c r="AC8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C10" i="23" l="1"/>
  <c r="AD20" i="22"/>
  <c r="AD25" i="22"/>
  <c r="AD19" i="22"/>
  <c r="AC10" i="22"/>
  <c r="AD99" i="22"/>
  <c r="AD43" i="22"/>
  <c r="AD42" i="22"/>
  <c r="AD83" i="22"/>
  <c r="AD92" i="22"/>
  <c r="AD27" i="22"/>
  <c r="AD15" i="22"/>
  <c r="AD98" i="22"/>
  <c r="AD16" i="22"/>
  <c r="AD90" i="22"/>
  <c r="AD61" i="22"/>
  <c r="AD45" i="22"/>
  <c r="AD86" i="22"/>
  <c r="AD95" i="22"/>
  <c r="AD93" i="22"/>
  <c r="AD21" i="22"/>
  <c r="AD85" i="22"/>
  <c r="AD94" i="22"/>
  <c r="AD91" i="22"/>
  <c r="AD89" i="22"/>
  <c r="AD97" i="22"/>
  <c r="AD66" i="22"/>
  <c r="AD58" i="22"/>
  <c r="AD57" i="22"/>
  <c r="AD88" i="22"/>
  <c r="AD67" i="22"/>
  <c r="AD18" i="22"/>
  <c r="AD56" i="22"/>
  <c r="AD78" i="22"/>
  <c r="AD65" i="22"/>
  <c r="AD100" i="22"/>
  <c r="AD64" i="22"/>
  <c r="AD59" i="22"/>
  <c r="AD84" i="22"/>
  <c r="AD87" i="22"/>
  <c r="AD44" i="22"/>
  <c r="AD17" i="22"/>
  <c r="AD11" i="22"/>
  <c r="AD9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3" l="1"/>
  <c r="D11" i="23" s="1"/>
  <c r="AD10" i="22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F13" i="23" l="1"/>
  <c r="D13" i="23"/>
  <c r="D13" i="22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J12" i="23" l="1"/>
  <c r="U12" i="23"/>
  <c r="Q12" i="23"/>
  <c r="O12" i="23"/>
  <c r="P12" i="23"/>
  <c r="AC12" i="23"/>
  <c r="H12" i="23"/>
  <c r="L12" i="23"/>
  <c r="T12" i="23"/>
  <c r="V12" i="23"/>
  <c r="X12" i="23"/>
  <c r="I12" i="23"/>
  <c r="R12" i="23"/>
  <c r="AB12" i="23"/>
  <c r="K12" i="23"/>
  <c r="AA12" i="23"/>
  <c r="F12" i="23"/>
  <c r="S12" i="23"/>
  <c r="Z12" i="23"/>
  <c r="G12" i="23"/>
  <c r="M12" i="23"/>
  <c r="N12" i="23"/>
  <c r="W12" i="23"/>
  <c r="AD12" i="23"/>
  <c r="Y12" i="23"/>
  <c r="Y12" i="22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<sst xmlns="http://schemas.openxmlformats.org/spreadsheetml/2006/main" count="500" uniqueCount="219">
  <si>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</si>
  <si>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</si>
  <si>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</si>
  <si>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</si>
  <si>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</si>
  <si>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</si>
  <si>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</si>
  <si>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</si>
  <si>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</si>
  <si>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</si>
  <si>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</si>
  <si>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</si>
  <si>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</si>
  <si>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</si>
  <si>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</si>
  <si>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</si>
  <si>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</si>
  <si>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</si>
  <si>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</si>
  <si>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</si>
  <si>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</si>
  <si>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</si>
  <si>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</si>
  <si>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</si>
  <si>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</si>
  <si>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</si>
  <si>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</si>
  <si>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</si>
  <si>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</si>
  <si>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</si>
  <si>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</si>
  <si>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</si>
  <si>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</si>
  <si>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</si>
  <si>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</si>
  <si>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</si>
  <si>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</si>
  <si>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</si>
  <si>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</si>
  <si>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</si>
  <si>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</si>
  <si>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</si>
  <si>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</si>
  <si>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</si>
  <si>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</si>
  <si>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</si>
  <si>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</si>
  <si>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</si>
  <si>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</si>
  <si>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</si>
  <si>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</si>
  <si>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</si>
  <si>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</si>
  <si>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</si>
  <si>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</si>
  <si>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</si>
  <si>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</si>
  <si>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</si>
  <si>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</si>
  <si>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</si>
  <si>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</si>
  <si>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</si>
  <si>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</si>
  <si>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</si>
  <si>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</si>
  <si>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</si>
  <si>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</si>
  <si>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</si>
  <si>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</si>
  <si>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</si>
  <si>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</si>
  <si>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</si>
  <si>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</si>
  <si>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</si>
  <si>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</si>
  <si>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</si>
  <si>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</si>
  <si>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</si>
  <si>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</si>
  <si>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</si>
  <si>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</si>
  <si>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</si>
  <si>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</si>
  <si>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</si>
  <si>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</si>
  <si>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</si>
  <si>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</si>
  <si>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</si>
  <si>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</si>
  <si>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</si>
  <si>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</si>
  <si>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</si>
  <si>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</si>
  <si>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</si>
  <si>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</si>
  <si>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</si>
  <si>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</si>
  <si>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</si>
  <si>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</si>
  <si>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</si>
  <si>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</si>
  <si>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</si>
  <si>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</si>
  <si>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</si>
  <si>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</si>
  <si>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</si>
  <si>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</si>
  <si>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</si>
  <si>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</si>
  <si>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</si>
  <si>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</si>
  <si>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</si>
  <si>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</si>
  <si>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</si>
  <si>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</si>
  <si>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</si>
  <si>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</si>
  <si>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</si>
  <si>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</si>
  <si>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</si>
  <si>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</si>
  <si>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</si>
  <si>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</si>
  <si>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</si>
  <si>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</si>
  <si>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</si>
  <si>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</si>
  <si>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</si>
  <si>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</si>
  <si>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</si>
  <si>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</si>
  <si>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</si>
  <si>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</si>
  <si>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</si>
  <si>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</si>
  <si>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</si>
  <si>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</si>
  <si>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</si>
  <si>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</si>
  <si>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</si>
  <si>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</si>
  <si>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</si>
  <si>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</si>
  <si>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</si>
  <si>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</si>
  <si>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</si>
  <si>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</si>
  <si>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</si>
  <si>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</si>
  <si>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</si>
  <si>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</si>
  <si>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</si>
  <si>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</si>
  <si>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</si>
  <si>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</si>
  <si>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</si>
  <si>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</si>
  <si>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</si>
  <si>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</si>
  <si>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</si>
  <si>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</si>
  <si>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</si>
  <si>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</si>
  <si>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</si>
  <si>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</si>
  <si>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</si>
  <si>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</si>
  <si>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</si>
  <si>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</si>
  <si>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</si>
  <si>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</si>
  <si>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</si>
  <si>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</si>
  <si>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</si>
  <si>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</si>
  <si>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</si>
  <si>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</si>
  <si>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</si>
  <si>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</si>
  <si>
    <t xml:space="preserve">    faire une vue annonce (html)</t>
  </si>
  <si>
    <t xml:space="preserve">    accueil admin : css</t>
  </si>
  <si>
    <t>definir le contenu des menus</t>
  </si>
  <si>
    <t>tester toutes les fonctions</t>
  </si>
  <si>
    <t>tester tous les formulaires</t>
  </si>
  <si>
    <t>les liens des menus sont actifs</t>
  </si>
  <si>
    <t>mettre les filtres opérationnels</t>
  </si>
  <si>
    <t>refaire les menus dynamique</t>
  </si>
  <si>
    <t xml:space="preserve">   fonction modifier une annonce</t>
  </si>
  <si>
    <t>page profil client</t>
  </si>
  <si>
    <t xml:space="preserve">   faire le controlleur profil</t>
  </si>
  <si>
    <t xml:space="preserve">   html profil</t>
  </si>
  <si>
    <t xml:space="preserve">   modif du profil</t>
  </si>
  <si>
    <t>fournisseur : page accueil = mes annonces</t>
  </si>
  <si>
    <t xml:space="preserve">   faire page mes annonces</t>
  </si>
  <si>
    <t xml:space="preserve">   activer liens mes annonces</t>
  </si>
  <si>
    <t xml:space="preserve">   activer liens mes messages</t>
  </si>
  <si>
    <t xml:space="preserve">   ajouter liens créer annonces</t>
  </si>
  <si>
    <t>controleur message : soumissionner</t>
  </si>
  <si>
    <t>Rating</t>
  </si>
  <si>
    <t xml:space="preserve">    lien notation membre</t>
  </si>
  <si>
    <t xml:space="preserve">    afficher la note d'un membre</t>
  </si>
  <si>
    <t xml:space="preserve">    calculer la note d'un membre</t>
  </si>
  <si>
    <t xml:space="preserve">         vue annonce : liste des conversations</t>
  </si>
  <si>
    <t xml:space="preserve">    liste des conversations par membres</t>
  </si>
  <si>
    <t xml:space="preserve">    liste des messages par conversations</t>
  </si>
  <si>
    <t xml:space="preserve">   refaire les menus dynamique</t>
  </si>
  <si>
    <t xml:space="preserve">   les liens des menus sont actifs</t>
  </si>
  <si>
    <t xml:space="preserve">   mettre les filtres opérationnels</t>
  </si>
  <si>
    <t xml:space="preserve">Admin </t>
  </si>
  <si>
    <t xml:space="preserve">    finaliser la vue membre (tableau)</t>
  </si>
  <si>
    <t xml:space="preserve">    ajouter le banissement / débanissement</t>
  </si>
  <si>
    <t xml:space="preserve">    afficher détail au clic sur la ligne de la table</t>
  </si>
  <si>
    <t xml:space="preserve">    afficher les annonces en liste ?</t>
  </si>
  <si>
    <t>dépanner les erreurs (liste github)</t>
  </si>
  <si>
    <t>faire la page a propos</t>
  </si>
  <si>
    <t>filtre : intégrer les filtres au vue liste et tuile</t>
  </si>
  <si>
    <t>vue detail_ad : affichage des photos supplémentaires</t>
  </si>
  <si>
    <t xml:space="preserve">vue detail ad : ajout bouton ajouter annoce </t>
  </si>
  <si>
    <t>ajout annonce : possibilité d'ajouter des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</si>
</sst>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2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C6EFCE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4" borderId="0" applyNumberFormat="0" applyBorder="0" applyAlignment="0" applyProtection="0"/>
  </cellStyleXfs>
  <cellXfs count="91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0" fontId="11" fillId="4" borderId="0" xfId="1" applyAlignment="1">
      <alignment vertical="top" wrapText="1"/>
    </xf>
    <xf numFmtId="0" fontId="11" fillId="4" borderId="0" xfId="1" applyAlignment="1">
      <alignment horizontal="center" vertical="top"/>
    </xf>
    <xf numFmtId="0" fontId="11" fillId="4" borderId="0" xfId="1" applyAlignment="1">
      <alignment vertical="top"/>
    </xf>
    <xf numFmtId="0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1" fillId="4" borderId="0" xfId="1"/>
    <xf numFmtId="0" fontId="11" fillId="4" borderId="0" xfId="1" applyAlignment="1">
      <alignment horizontal="center"/>
    </xf>
  </cellXfs>
  <cellStyles count="2">
    <cellStyle name="Normal" xfId="0" builtinId="0"/>
    <cellStyle name="Satisfaisant" xfId="1" builtinId="26"/>
  </cellStyles>
  <dxfs count="65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84.5</c:v>
                </c:pt>
                <c:pt idx="1">
                  <c:v>75.5</c:v>
                </c:pt>
                <c:pt idx="2">
                  <c:v>70</c:v>
                </c:pt>
                <c:pt idx="3">
                  <c:v>54.5</c:v>
                </c:pt>
                <c:pt idx="4">
                  <c:v>47</c:v>
                </c:pt>
                <c:pt idx="5">
                  <c:v>43.5</c:v>
                </c:pt>
                <c:pt idx="6">
                  <c:v>29</c:v>
                </c:pt>
                <c:pt idx="7">
                  <c:v>20</c:v>
                </c:pt>
                <c:pt idx="8">
                  <c:v>13.5</c:v>
                </c:pt>
                <c:pt idx="9">
                  <c:v>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86.5</c:v>
                </c:pt>
                <c:pt idx="1">
                  <c:v>77.849999999999994</c:v>
                </c:pt>
                <c:pt idx="2">
                  <c:v>69.2</c:v>
                </c:pt>
                <c:pt idx="3">
                  <c:v>60.55</c:v>
                </c:pt>
                <c:pt idx="4">
                  <c:v>51.9</c:v>
                </c:pt>
                <c:pt idx="5">
                  <c:v>43.25</c:v>
                </c:pt>
                <c:pt idx="6">
                  <c:v>34.599999999999994</c:v>
                </c:pt>
                <c:pt idx="7">
                  <c:v>25.949999999999996</c:v>
                </c:pt>
                <c:pt idx="8">
                  <c:v>17.299999999999997</c:v>
                </c:pt>
                <c:pt idx="9">
                  <c:v>8.6499999999999915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83.35</c:v>
                </c:pt>
                <c:pt idx="1">
                  <c:v>74.7</c:v>
                </c:pt>
                <c:pt idx="2">
                  <c:v>66.05</c:v>
                </c:pt>
                <c:pt idx="3">
                  <c:v>57.4</c:v>
                </c:pt>
                <c:pt idx="4">
                  <c:v>48.75</c:v>
                </c:pt>
                <c:pt idx="5">
                  <c:v>40.099999999999994</c:v>
                </c:pt>
                <c:pt idx="6">
                  <c:v>31.449999999999996</c:v>
                </c:pt>
                <c:pt idx="7">
                  <c:v>22.799999999999997</c:v>
                </c:pt>
                <c:pt idx="8">
                  <c:v>14.149999999999991</c:v>
                </c:pt>
                <c:pt idx="9">
                  <c:v>5.5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64</c:v>
                </c:pt>
                <c:pt idx="1">
                  <c:v>57.6</c:v>
                </c:pt>
                <c:pt idx="2">
                  <c:v>51.2</c:v>
                </c:pt>
                <c:pt idx="3">
                  <c:v>44.8</c:v>
                </c:pt>
                <c:pt idx="4">
                  <c:v>38.4</c:v>
                </c:pt>
                <c:pt idx="5">
                  <c:v>32</c:v>
                </c:pt>
                <c:pt idx="6">
                  <c:v>25.599999999999994</c:v>
                </c:pt>
                <c:pt idx="7">
                  <c:v>19.199999999999996</c:v>
                </c:pt>
                <c:pt idx="8">
                  <c:v>12.799999999999997</c:v>
                </c:pt>
                <c:pt idx="9">
                  <c:v>6.3999999999999986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64" priority="1" stopIfTrue="1">
      <formula>$F4="Planned"</formula>
    </cfRule>
    <cfRule type="expression" dxfId="63" priority="2" stopIfTrue="1">
      <formula>$F4="Ongoing"</formula>
    </cfRule>
  </conditionalFormatting>
  <conditionalFormatting sqref="F4:F10 F16:F30">
    <cfRule type="expression" dxfId="62" priority="3" stopIfTrue="1">
      <formula>$F4="Planned"</formula>
    </cfRule>
    <cfRule type="expression" dxfId="61" priority="4" stopIfTrue="1">
      <formula>$F4="Ongoing"</formula>
    </cfRule>
    <cfRule type="cellIs" dxfId="60" priority="5" stopIfTrue="1" operator="equal">
      <formula>"Unplanned"</formula>
    </cfRule>
  </conditionalFormatting>
  <conditionalFormatting sqref="E4 G16:H30 A16:E30">
    <cfRule type="expression" dxfId="59" priority="6" stopIfTrue="1">
      <formula>OR($F4="Planned",$F4="Unplanned")</formula>
    </cfRule>
    <cfRule type="expression" dxfId="58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10" zoomScaleNormal="110" workbookViewId="0">
      <pane ySplit="4" topLeftCell="A5" activePane="bottomLeft" state="frozen"/>
      <selection pane="bottomLeft" activeCell="E14" sqref="E14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4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 x14ac:dyDescent="0.2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 x14ac:dyDescent="0.2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 x14ac:dyDescent="0.2">
      <c r="A10">
        <v>8</v>
      </c>
      <c r="B10" s="82" t="s">
        <v>38</v>
      </c>
      <c r="C10" s="83" t="s">
        <v>147</v>
      </c>
      <c r="D10" s="83"/>
      <c r="E10" s="83">
        <v>2</v>
      </c>
      <c r="F10" s="83">
        <v>3</v>
      </c>
      <c r="G10" s="82" t="s">
        <v>40</v>
      </c>
      <c r="H10" s="84" t="s">
        <v>37</v>
      </c>
    </row>
    <row r="11" spans="1:8" ht="38.25" x14ac:dyDescent="0.2">
      <c r="A11">
        <v>9</v>
      </c>
      <c r="B11" s="32" t="s">
        <v>41</v>
      </c>
      <c r="C11" s="34" t="s">
        <v>39</v>
      </c>
      <c r="E11" s="34">
        <v>3</v>
      </c>
      <c r="F11" s="34">
        <v>3</v>
      </c>
      <c r="G11" s="79" t="s">
        <v>42</v>
      </c>
      <c r="H11" s="79" t="s">
        <v>29</v>
      </c>
    </row>
    <row r="12" spans="1:8" ht="26.25" customHeight="1" x14ac:dyDescent="0.2">
      <c r="A12">
        <v>10</v>
      </c>
      <c r="B12" s="32" t="s">
        <v>43</v>
      </c>
      <c r="C12" s="34" t="s">
        <v>39</v>
      </c>
      <c r="E12" s="34">
        <v>3</v>
      </c>
      <c r="F12" s="34">
        <v>3</v>
      </c>
      <c r="G12" s="32" t="s">
        <v>44</v>
      </c>
      <c r="H12" s="35" t="s">
        <v>37</v>
      </c>
    </row>
    <row r="13" spans="1:8" x14ac:dyDescent="0.2">
      <c r="A13" s="34">
        <v>11</v>
      </c>
      <c r="B13" s="32" t="s">
        <v>45</v>
      </c>
      <c r="C13" s="34" t="s">
        <v>24</v>
      </c>
      <c r="E13" s="34">
        <v>1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57" priority="117" stopIfTrue="1">
      <formula>$C4="Done"</formula>
    </cfRule>
    <cfRule type="expression" dxfId="56" priority="118" stopIfTrue="1">
      <formula>$C4="Ongoing"</formula>
    </cfRule>
    <cfRule type="expression" dxfId="55" priority="119" stopIfTrue="1">
      <formula>$C4="Removed"</formula>
    </cfRule>
  </conditionalFormatting>
  <conditionalFormatting sqref="G54">
    <cfRule type="expression" dxfId="54" priority="120" stopIfTrue="1">
      <formula>$C44="Done"</formula>
    </cfRule>
    <cfRule type="expression" dxfId="53" priority="121" stopIfTrue="1">
      <formula>$C44="Ongoing"</formula>
    </cfRule>
    <cfRule type="expression" dxfId="52" priority="122" stopIfTrue="1">
      <formula>$C44="Removed"</formula>
    </cfRule>
  </conditionalFormatting>
  <conditionalFormatting sqref="G43:G44">
    <cfRule type="expression" dxfId="51" priority="123" stopIfTrue="1">
      <formula>#REF!="Done"</formula>
    </cfRule>
    <cfRule type="expression" dxfId="50" priority="124" stopIfTrue="1">
      <formula>#REF!="Ongoing"</formula>
    </cfRule>
    <cfRule type="expression" dxfId="49" priority="125" stopIfTrue="1">
      <formula>#REF!="Removed"</formula>
    </cfRule>
  </conditionalFormatting>
  <conditionalFormatting sqref="G23">
    <cfRule type="expression" dxfId="48" priority="126" stopIfTrue="1">
      <formula>#REF!="Done"</formula>
    </cfRule>
    <cfRule type="expression" dxfId="47" priority="127" stopIfTrue="1">
      <formula>#REF!="Ongoing"</formula>
    </cfRule>
    <cfRule type="expression" dxfId="46" priority="128" stopIfTrue="1">
      <formula>#REF!="Removed"</formula>
    </cfRule>
  </conditionalFormatting>
  <conditionalFormatting sqref="H4">
    <cfRule type="expression" dxfId="45" priority="114" stopIfTrue="1">
      <formula>$C4="Done"</formula>
    </cfRule>
    <cfRule type="expression" dxfId="44" priority="115" stopIfTrue="1">
      <formula>$C4="Ongoing"</formula>
    </cfRule>
    <cfRule type="expression" dxfId="43" priority="116" stopIfTrue="1">
      <formula>$C4="Removed"</formula>
    </cfRule>
  </conditionalFormatting>
  <conditionalFormatting sqref="A5:A12">
    <cfRule type="expression" dxfId="42" priority="16" stopIfTrue="1">
      <formula>$D5="Done"</formula>
    </cfRule>
    <cfRule type="expression" dxfId="41" priority="17" stopIfTrue="1">
      <formula>$D5="Ongoing"</formula>
    </cfRule>
  </conditionalFormatting>
  <conditionalFormatting sqref="G5">
    <cfRule type="expression" dxfId="40" priority="13" stopIfTrue="1">
      <formula>$C5="Done"</formula>
    </cfRule>
    <cfRule type="expression" dxfId="39" priority="14" stopIfTrue="1">
      <formula>$C5="Ongoing"</formula>
    </cfRule>
    <cfRule type="expression" dxfId="38" priority="15" stopIfTrue="1">
      <formula>$C5="Removed"</formula>
    </cfRule>
  </conditionalFormatting>
  <conditionalFormatting sqref="B5">
    <cfRule type="expression" dxfId="37" priority="7" stopIfTrue="1">
      <formula>$C5="Done"</formula>
    </cfRule>
    <cfRule type="expression" dxfId="36" priority="8" stopIfTrue="1">
      <formula>$C5="Ongoing"</formula>
    </cfRule>
    <cfRule type="expression" dxfId="35" priority="9" stopIfTrue="1">
      <formula>$C5="Removed"</formula>
    </cfRule>
  </conditionalFormatting>
  <conditionalFormatting sqref="D5:F5">
    <cfRule type="expression" dxfId="34" priority="4" stopIfTrue="1">
      <formula>$C5="Done"</formula>
    </cfRule>
    <cfRule type="expression" dxfId="33" priority="5" stopIfTrue="1">
      <formula>$C5="Ongoing"</formula>
    </cfRule>
    <cfRule type="expression" dxfId="32" priority="6" stopIfTrue="1">
      <formula>$C5="Removed"</formula>
    </cfRule>
  </conditionalFormatting>
  <conditionalFormatting sqref="H5">
    <cfRule type="expression" dxfId="31" priority="1" stopIfTrue="1">
      <formula>$C5="Done"</formula>
    </cfRule>
    <cfRule type="expression" dxfId="30" priority="2" stopIfTrue="1">
      <formula>$C5="Ongoing"</formula>
    </cfRule>
    <cfRule type="expression" dxfId="29" priority="3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6">
        <f>D$4</f>
        <v>3</v>
      </c>
      <c r="B8" s="86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6">
        <f>D$4</f>
        <v>3</v>
      </c>
      <c r="B18" s="86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8" t="s">
        <v>68</v>
      </c>
      <c r="G26" s="88"/>
      <c r="H26" s="88"/>
      <c r="I26" s="88"/>
      <c r="J26" s="88"/>
      <c r="K26" s="88"/>
      <c r="L26" s="88"/>
      <c r="M26" s="88"/>
      <c r="N26" s="88"/>
      <c r="O26" s="88" t="s">
        <v>82</v>
      </c>
      <c r="P26" s="88"/>
      <c r="Q26" s="88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7" t="s">
        <v>88</v>
      </c>
      <c r="H27" s="87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8" priority="1" stopIfTrue="1">
      <formula>$D26="Done"</formula>
    </cfRule>
    <cfRule type="expression" dxfId="27" priority="2" stopIfTrue="1">
      <formula>$D26="Ongoing"</formula>
    </cfRule>
    <cfRule type="expression" dxfId="26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5" priority="1" stopIfTrue="1">
      <formula>$D15="Done"</formula>
    </cfRule>
    <cfRule type="expression" dxfId="24" priority="2" stopIfTrue="1">
      <formula>$D15="Ongoing"</formula>
    </cfRule>
  </conditionalFormatting>
  <conditionalFormatting sqref="A15:I18">
    <cfRule type="expression" dxfId="23" priority="3" stopIfTrue="1">
      <formula>$D15="Done"</formula>
    </cfRule>
    <cfRule type="expression" dxfId="22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92"/>
  <sheetViews>
    <sheetView zoomScale="120" zoomScaleNormal="120" workbookViewId="0">
      <pane ySplit="14" topLeftCell="A15" activePane="bottomLeft" state="frozen"/>
      <selection pane="bottomLeft" activeCell="B26" sqref="B26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 x14ac:dyDescent="0.2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133</v>
      </c>
      <c r="C25"/>
    </row>
    <row r="26" spans="1:30" x14ac:dyDescent="0.2">
      <c r="A26" s="35" t="s">
        <v>133</v>
      </c>
      <c r="C26"/>
    </row>
    <row r="27" spans="1:30" x14ac:dyDescent="0.2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 x14ac:dyDescent="0.2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 x14ac:dyDescent="0.2">
      <c r="C29"/>
    </row>
    <row r="30" spans="1:30" ht="15" customHeight="1" x14ac:dyDescent="0.2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 x14ac:dyDescent="0.2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 x14ac:dyDescent="0.2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 x14ac:dyDescent="0.2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 x14ac:dyDescent="0.2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 x14ac:dyDescent="0.2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 x14ac:dyDescent="0.2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 x14ac:dyDescent="0.2">
      <c r="A39"/>
      <c r="B39" s="2"/>
      <c r="C39"/>
      <c r="D39"/>
      <c r="E39" s="2"/>
      <c r="F39" s="2"/>
      <c r="G39" s="2"/>
      <c r="H39" s="2"/>
      <c r="I39" s="2"/>
    </row>
    <row r="40" spans="1:30" x14ac:dyDescent="0.2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 x14ac:dyDescent="0.2">
      <c r="A41"/>
      <c r="B41" s="2"/>
      <c r="C41"/>
      <c r="D41"/>
      <c r="E41" s="2"/>
      <c r="F41" s="2"/>
      <c r="G41" s="2"/>
      <c r="H41" s="2"/>
      <c r="I41" s="2"/>
    </row>
    <row r="42" spans="1:30" x14ac:dyDescent="0.2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C44"/>
      <c r="AC44" s="34" t="str">
        <f t="shared" si="9"/>
        <v/>
      </c>
      <c r="AD44" s="34" t="str">
        <f t="shared" si="9"/>
        <v/>
      </c>
    </row>
    <row r="45" spans="1:30" x14ac:dyDescent="0.2">
      <c r="C45"/>
      <c r="AC45" s="34" t="str">
        <f t="shared" si="9"/>
        <v/>
      </c>
      <c r="AD45" s="34" t="str">
        <f t="shared" si="9"/>
        <v/>
      </c>
    </row>
    <row r="46" spans="1:30" x14ac:dyDescent="0.2"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  <c r="AC50" s="34" t="str">
        <f t="shared" si="9"/>
        <v/>
      </c>
      <c r="AD50" s="34" t="str">
        <f t="shared" si="9"/>
        <v/>
      </c>
    </row>
    <row r="51" spans="1:30" x14ac:dyDescent="0.2">
      <c r="A51" s="32"/>
      <c r="C51"/>
      <c r="AC51" s="34" t="str">
        <f t="shared" si="9"/>
        <v/>
      </c>
      <c r="AD51" s="34" t="str">
        <f t="shared" si="9"/>
        <v/>
      </c>
    </row>
    <row r="52" spans="1:30" x14ac:dyDescent="0.2">
      <c r="A52" s="32"/>
      <c r="C52"/>
      <c r="AC52" s="34" t="str">
        <f t="shared" si="9"/>
        <v/>
      </c>
      <c r="AD52" s="34" t="str">
        <f t="shared" si="9"/>
        <v/>
      </c>
    </row>
    <row r="53" spans="1:30" x14ac:dyDescent="0.2">
      <c r="A53" s="32"/>
      <c r="C53"/>
    </row>
    <row r="54" spans="1:30" x14ac:dyDescent="0.2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  <c r="AC60" s="34" t="str">
        <f t="shared" si="10"/>
        <v/>
      </c>
      <c r="AD60" s="34" t="str">
        <f t="shared" si="10"/>
        <v/>
      </c>
    </row>
    <row r="61" spans="1:30" x14ac:dyDescent="0.2">
      <c r="A61" s="32"/>
      <c r="C61"/>
      <c r="AC61" s="34" t="str">
        <f t="shared" si="10"/>
        <v/>
      </c>
      <c r="AD61" s="34" t="str">
        <f t="shared" si="10"/>
        <v/>
      </c>
    </row>
    <row r="62" spans="1:30" x14ac:dyDescent="0.2">
      <c r="A62" s="32"/>
      <c r="C62"/>
      <c r="AC62" s="34" t="str">
        <f t="shared" si="10"/>
        <v/>
      </c>
      <c r="AD62" s="34" t="str">
        <f t="shared" si="10"/>
        <v/>
      </c>
    </row>
    <row r="63" spans="1:30" x14ac:dyDescent="0.2">
      <c r="A63" s="32"/>
      <c r="C63"/>
    </row>
    <row r="64" spans="1:30" x14ac:dyDescent="0.2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A66" s="32"/>
      <c r="C66"/>
      <c r="AC66" s="34" t="str">
        <f t="shared" si="11"/>
        <v/>
      </c>
      <c r="AD66" s="34" t="str">
        <f t="shared" si="11"/>
        <v/>
      </c>
    </row>
    <row r="67" spans="1:30" x14ac:dyDescent="0.2">
      <c r="A67" s="32"/>
      <c r="C67"/>
      <c r="AC67" s="34" t="str">
        <f t="shared" si="11"/>
        <v/>
      </c>
      <c r="AD67" s="34" t="str">
        <f t="shared" si="11"/>
        <v/>
      </c>
    </row>
    <row r="68" spans="1:30" x14ac:dyDescent="0.2">
      <c r="A68" s="32"/>
      <c r="C68"/>
      <c r="AC68" s="34" t="str">
        <f t="shared" si="11"/>
        <v/>
      </c>
      <c r="AD68" s="34" t="str">
        <f t="shared" si="11"/>
        <v/>
      </c>
    </row>
    <row r="69" spans="1:30" x14ac:dyDescent="0.2">
      <c r="C69"/>
      <c r="D69" s="35" t="str">
        <f>IF(A69&lt;&gt;"","Planned","")</f>
        <v/>
      </c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  <row r="90" spans="3:3" x14ac:dyDescent="0.2">
      <c r="C90"/>
    </row>
    <row r="91" spans="3:3" x14ac:dyDescent="0.2">
      <c r="C91"/>
    </row>
    <row r="92" spans="3:3" x14ac:dyDescent="0.2">
      <c r="C92"/>
    </row>
  </sheetData>
  <phoneticPr fontId="2" type="noConversion"/>
  <conditionalFormatting sqref="B15:AD16 A17:AD63">
    <cfRule type="expression" dxfId="21" priority="3" stopIfTrue="1">
      <formula>$D15="Done"</formula>
    </cfRule>
    <cfRule type="expression" dxfId="20" priority="4" stopIfTrue="1">
      <formula>$D15="Ongoing"</formula>
    </cfRule>
  </conditionalFormatting>
  <conditionalFormatting sqref="A15:A16">
    <cfRule type="expression" dxfId="19" priority="1" stopIfTrue="1">
      <formula>$D15="Done"</formula>
    </cfRule>
    <cfRule type="expression" dxfId="18" priority="2" stopIfTrue="1">
      <formula>$D15="Ongoing"</formula>
    </cfRule>
  </conditionalFormatting>
  <dataValidations count="1">
    <dataValidation type="list" allowBlank="1" showInputMessage="1" sqref="D3:D8 D15:D69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105"/>
  <sheetViews>
    <sheetView zoomScale="110" zoomScaleNormal="110" workbookViewId="0">
      <pane ySplit="14" topLeftCell="A15" activePane="bottomLeft" state="frozen"/>
      <selection pane="bottomLeft" activeCell="A24" sqref="A22:XFD24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86.5</v>
      </c>
      <c r="F10" s="17">
        <f ca="1">IF(AND(SUM(OFFSET(F14,1,0,TaskRows,1))=0),0,SUM(OFFSET(F14,1,0,TaskRows,1)))</f>
        <v>84.5</v>
      </c>
      <c r="G10" s="17">
        <f ca="1">IF(AND(SUM(OFFSET(G14,1,0,TaskRows,1))=0),"",SUM(OFFSET(G14,1,0,TaskRows,1)))</f>
        <v>75.5</v>
      </c>
      <c r="H10" s="17">
        <f ca="1">IF(AND(SUM(OFFSET(H14,1,0,TaskRows,1))=0),"",SUM(OFFSET(H14,1,0,TaskRows,1)))</f>
        <v>70</v>
      </c>
      <c r="I10" s="17">
        <f ca="1">IF(AND(SUM(OFFSET(I14,1,0,TaskRows,1))=0),"",SUM(OFFSET(I14,1,0,TaskRows,1)))</f>
        <v>54.5</v>
      </c>
      <c r="J10" s="17">
        <f ca="1">IF(AND(SUM(OFFSET(J14,1,0,TaskRows,1))=0),"",SUM(OFFSET(J14,1,0,TaskRows,1)))</f>
        <v>47</v>
      </c>
      <c r="K10" s="17">
        <f ca="1">IF(AND(SUM(OFFSET(K14,1,0,TaskRows,1))=0),"",SUM(OFFSET(K14,1,0,TaskRows,1)))</f>
        <v>43.5</v>
      </c>
      <c r="L10" s="17">
        <f ca="1">IF(AND(SUM(OFFSET(L14,1,0,TaskRows,1))=0),"",SUM(OFFSET(L14,1,0,TaskRows,1)))</f>
        <v>29</v>
      </c>
      <c r="M10" s="17">
        <f ca="1">IF(AND(SUM(OFFSET(M14,1,0,TaskRows,1))=0),"",SUM(OFFSET(M14,1,0,TaskRows,1)))</f>
        <v>20</v>
      </c>
      <c r="N10" s="17">
        <f ca="1">IF(AND(SUM(OFFSET(N14,1,0,TaskRows,1))=0),"",SUM(OFFSET(N14,1,0,TaskRows,1)))</f>
        <v>13.5</v>
      </c>
      <c r="O10" s="17">
        <f ca="1">IF(AND(SUM(OFFSET(O14,1,0,TaskRows,1))=0),"",SUM(OFFSET(O14,1,0,TaskRows,1)))</f>
        <v>8</v>
      </c>
      <c r="P10" s="17" t="str">
        <f ca="1">IF(AND(SUM(OFFSET(P14,1,0,TaskRows,1))=0),"",SUM(OFFSET(P14,1,0,TaskRows,1)))</f>
        <v/>
      </c>
      <c r="Q10" s="17" t="str">
        <f ca="1">IF(AND(SUM(OFFSET(Q14,1,0,TaskRows,1))=0),"",SUM(OFFSET(Q14,1,0,TaskRows,1)))</f>
        <v/>
      </c>
      <c r="R10" s="17" t="str">
        <f ca="1">IF(AND(SUM(OFFSET(R14,1,0,TaskRows,1))=0),"",SUM(OFFSET(R14,1,0,TaskRows,1)))</f>
        <v/>
      </c>
      <c r="S10" s="17" t="str">
        <f ca="1">IF(AND(SUM(OFFSET(S14,1,0,TaskRows,1))=0),"",SUM(OFFSET(S14,1,0,TaskRows,1)))</f>
        <v/>
      </c>
      <c r="T10" s="17" t="str">
        <f ca="1">IF(AND(SUM(OFFSET(T14,1,0,TaskRows,1))=0),"",SUM(OFFSET(T14,1,0,TaskRows,1)))</f>
        <v/>
      </c>
      <c r="U10" s="17" t="str">
        <f ca="1">IF(AND(SUM(OFFSET(U14,1,0,TaskRows,1))=0),"",SUM(OFFSET(U14,1,0,TaskRows,1)))</f>
        <v/>
      </c>
      <c r="V10" s="17" t="str">
        <f ca="1">IF(AND(SUM(OFFSET(V14,1,0,TaskRows,1))=0),"",SUM(OFFSET(V14,1,0,TaskRows,1)))</f>
        <v/>
      </c>
      <c r="W10" s="17" t="str">
        <f ca="1">IF(AND(SUM(OFFSET(W14,1,0,TaskRows,1))=0),"",SUM(OFFSET(W14,1,0,TaskRows,1)))</f>
        <v/>
      </c>
      <c r="X10" s="17" t="str">
        <f ca="1">IF(AND(SUM(OFFSET(X14,1,0,TaskRows,1))=0),"",SUM(OFFSET(X14,1,0,TaskRows,1)))</f>
        <v/>
      </c>
      <c r="Y10" s="17" t="str">
        <f ca="1">IF(AND(SUM(OFFSET(Y14,1,0,TaskRows,1))=0),"",SUM(OFFSET(Y14,1,0,TaskRows,1)))</f>
        <v/>
      </c>
      <c r="Z10" s="17" t="str">
        <f ca="1">IF(AND(SUM(OFFSET(Z14,1,0,TaskRows,1))=0),"",SUM(OFFSET(Z14,1,0,TaskRows,1)))</f>
        <v/>
      </c>
      <c r="AA10" s="17" t="str">
        <f ca="1">IF(AND(SUM(OFFSET(AA14,1,0,TaskRows,1))=0),"",SUM(OFFSET(AA14,1,0,TaskRows,1)))</f>
        <v/>
      </c>
      <c r="AB10" s="17" t="str">
        <f ca="1">IF(AND(SUM(OFFSET(AB14,1,0,TaskRows,1))=0),"",SUM(OFFSET(AB14,1,0,TaskRows,1)))</f>
        <v/>
      </c>
      <c r="AC10" s="17" t="str">
        <f ca="1">IF(AND(SUM(OFFSET(AC14,1,0,TaskRows,1))=0),"",SUM(OFFSET(AC14,1,0,TaskRows,1)))</f>
        <v/>
      </c>
      <c r="AD10" s="17" t="str">
        <f ca="1">IF(AND(SUM(OFFSET(AD14,1,0,TaskRows,1))=0),"",SUM(OFFSET(AD14,1,0,TaskRows,1)))</f>
        <v/>
      </c>
    </row>
    <row r="11" spans="1:30" hidden="1" x14ac:dyDescent="0.2">
      <c r="A11" t="s">
        <v>103</v>
      </c>
      <c r="B11" s="2">
        <f>IF(COUNTA(A15:A283)=0,1,COUNTA(A15:A283))</f>
        <v>55</v>
      </c>
      <c r="C11" t="s">
        <v>104</v>
      </c>
      <c r="D11" s="2">
        <f ca="1">IF(COUNTIF(F10:AD10,"&gt;0")=0,1,COUNTIF(F10:AD10,"&gt;0"))</f>
        <v>10</v>
      </c>
      <c r="F11" s="2">
        <f ca="1">IF(F14="","",$E10-$E10/($B9-1)*(F14-1))</f>
        <v>86.5</v>
      </c>
      <c r="G11" s="2">
        <f ca="1">IF(G14="","",TotalEffort-TotalEffort/(ImplementationDays)*(G14-1))</f>
        <v>77.849999999999994</v>
      </c>
      <c r="H11" s="2">
        <f ca="1">IF(H14="","",TotalEffort-TotalEffort/(ImplementationDays)*(H14-1))</f>
        <v>69.2</v>
      </c>
      <c r="I11" s="2">
        <f ca="1">IF(I14="","",TotalEffort-TotalEffort/(ImplementationDays)*(I14-1))</f>
        <v>60.55</v>
      </c>
      <c r="J11" s="2">
        <f ca="1">IF(J14="","",TotalEffort-TotalEffort/(ImplementationDays)*(J14-1))</f>
        <v>51.9</v>
      </c>
      <c r="K11" s="2">
        <f ca="1">IF(K14="","",TotalEffort-TotalEffort/(ImplementationDays)*(K14-1))</f>
        <v>43.25</v>
      </c>
      <c r="L11" s="2">
        <f ca="1">IF(L14="","",TotalEffort-TotalEffort/(ImplementationDays)*(L14-1))</f>
        <v>34.599999999999994</v>
      </c>
      <c r="M11" s="2">
        <f ca="1">IF(M14="","",TotalEffort-TotalEffort/(ImplementationDays)*(M14-1))</f>
        <v>25.949999999999996</v>
      </c>
      <c r="N11" s="2">
        <f ca="1">IF(N14="","",TotalEffort-TotalEffort/(ImplementationDays)*(N14-1))</f>
        <v>17.299999999999997</v>
      </c>
      <c r="O11" s="2">
        <f ca="1">IF(O14="","",TotalEffort-TotalEffort/(ImplementationDays)*(O14-1))</f>
        <v>8.6499999999999915</v>
      </c>
      <c r="P11" s="2" t="str">
        <f>IF(P14="","",TotalEffort-TotalEffort/(ImplementationDays)*(P14-1))</f>
        <v/>
      </c>
      <c r="Q11" s="2" t="str">
        <f>IF(Q14="","",TotalEffort-TotalEffort/(ImplementationDays)*(Q14-1))</f>
        <v/>
      </c>
      <c r="R11" s="2" t="str">
        <f>IF(R14="","",TotalEffort-TotalEffort/(ImplementationDays)*(R14-1))</f>
        <v/>
      </c>
      <c r="S11" s="2" t="str">
        <f>IF(S14="","",TotalEffort-TotalEffort/(ImplementationDays)*(S14-1))</f>
        <v/>
      </c>
      <c r="T11" s="2" t="str">
        <f>IF(T14="","",TotalEffort-TotalEffort/(ImplementationDays)*(T14-1))</f>
        <v/>
      </c>
      <c r="U11" s="2" t="str">
        <f>IF(U14="","",TotalEffort-TotalEffort/(ImplementationDays)*(U14-1))</f>
        <v/>
      </c>
      <c r="V11" s="2" t="str">
        <f>IF(V14="","",TotalEffort-TotalEffort/(ImplementationDays)*(V14-1))</f>
        <v/>
      </c>
      <c r="W11" s="2" t="str">
        <f>IF(W14="","",TotalEffort-TotalEffort/(ImplementationDays)*(W14-1))</f>
        <v/>
      </c>
      <c r="X11" s="2" t="str">
        <f>IF(X14="","",TotalEffort-TotalEffort/(ImplementationDays)*(X14-1))</f>
        <v/>
      </c>
      <c r="Y11" s="2" t="str">
        <f>IF(Y14="","",TotalEffort-TotalEffort/(ImplementationDays)*(Y14-1))</f>
        <v/>
      </c>
      <c r="Z11" s="2" t="str">
        <f>IF(Z14="","",TotalEffort-TotalEffort/(ImplementationDays)*(Z14-1))</f>
        <v/>
      </c>
      <c r="AA11" s="2" t="str">
        <f>IF(AA14="","",TotalEffort-TotalEffort/(ImplementationDays)*(AA14-1))</f>
        <v/>
      </c>
      <c r="AB11" s="2" t="str">
        <f>IF(AB14="","",TotalEffort-TotalEffort/(ImplementationDays)*(AB14-1))</f>
        <v/>
      </c>
      <c r="AC11" s="2" t="str">
        <f>IF(AC14="","",TotalEffort-TotalEffort/(ImplementationDays)*(AC14-1))</f>
        <v/>
      </c>
      <c r="AD11" s="2" t="str">
        <f>IF(AD14="","",TotalEffort-TotalEffort/(ImplementationDays)*(AD14-1))</f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ca="1">IF(TREND(OFFSET($F10,0,DoneDays-TrendDays,1,TrendDays),OFFSET($F13,0,DoneDays-TrendDays,1,TrendDays),F13)&lt;0,"",TREND(OFFSET($F10,0,DoneDays-TrendDays,1,TrendDays),OFFSET($F13,0,DoneDays-TrendDays,1,TrendDays),F13))</f>
        <v>83.35</v>
      </c>
      <c r="G12" s="2">
        <f ca="1">IF(TREND(OFFSET($F10,0,DoneDays-TrendDays,1,TrendDays),OFFSET($F13,0,DoneDays-TrendDays,1,TrendDays),G13)&lt;0,"",TREND(OFFSET($F10,0,DoneDays-TrendDays,1,TrendDays),OFFSET($F13,0,DoneDays-TrendDays,1,TrendDays),G13))</f>
        <v>74.7</v>
      </c>
      <c r="H12" s="2">
        <f ca="1">IF(TREND(OFFSET($F10,0,DoneDays-TrendDays,1,TrendDays),OFFSET($F13,0,DoneDays-TrendDays,1,TrendDays),H13)&lt;0,"",TREND(OFFSET($F10,0,DoneDays-TrendDays,1,TrendDays),OFFSET($F13,0,DoneDays-TrendDays,1,TrendDays),H13))</f>
        <v>66.05</v>
      </c>
      <c r="I12" s="2">
        <f ca="1">IF(TREND(OFFSET($F10,0,DoneDays-TrendDays,1,TrendDays),OFFSET($F13,0,DoneDays-TrendDays,1,TrendDays),I13)&lt;0,"",TREND(OFFSET($F10,0,DoneDays-TrendDays,1,TrendDays),OFFSET($F13,0,DoneDays-TrendDays,1,TrendDays),I13))</f>
        <v>57.4</v>
      </c>
      <c r="J12" s="2">
        <f ca="1">IF(TREND(OFFSET($F10,0,DoneDays-TrendDays,1,TrendDays),OFFSET($F13,0,DoneDays-TrendDays,1,TrendDays),J13)&lt;0,"",TREND(OFFSET($F10,0,DoneDays-TrendDays,1,TrendDays),OFFSET($F13,0,DoneDays-TrendDays,1,TrendDays),J13))</f>
        <v>48.75</v>
      </c>
      <c r="K12" s="2">
        <f ca="1">IF(TREND(OFFSET($F10,0,DoneDays-TrendDays,1,TrendDays),OFFSET($F13,0,DoneDays-TrendDays,1,TrendDays),K13)&lt;0,"",TREND(OFFSET($F10,0,DoneDays-TrendDays,1,TrendDays),OFFSET($F13,0,DoneDays-TrendDays,1,TrendDays),K13))</f>
        <v>40.099999999999994</v>
      </c>
      <c r="L12" s="2">
        <f ca="1">IF(TREND(OFFSET($F10,0,DoneDays-TrendDays,1,TrendDays),OFFSET($F13,0,DoneDays-TrendDays,1,TrendDays),L13)&lt;0,"",TREND(OFFSET($F10,0,DoneDays-TrendDays,1,TrendDays),OFFSET($F13,0,DoneDays-TrendDays,1,TrendDays),L13))</f>
        <v>31.449999999999996</v>
      </c>
      <c r="M12" s="2">
        <f ca="1">IF(TREND(OFFSET($F10,0,DoneDays-TrendDays,1,TrendDays),OFFSET($F13,0,DoneDays-TrendDays,1,TrendDays),M13)&lt;0,"",TREND(OFFSET($F10,0,DoneDays-TrendDays,1,TrendDays),OFFSET($F13,0,DoneDays-TrendDays,1,TrendDays),M13))</f>
        <v>22.799999999999997</v>
      </c>
      <c r="N12" s="2">
        <f ca="1">IF(TREND(OFFSET($F10,0,DoneDays-TrendDays,1,TrendDays),OFFSET($F13,0,DoneDays-TrendDays,1,TrendDays),N13)&lt;0,"",TREND(OFFSET($F10,0,DoneDays-TrendDays,1,TrendDays),OFFSET($F13,0,DoneDays-TrendDays,1,TrendDays),N13))</f>
        <v>14.149999999999991</v>
      </c>
      <c r="O12" s="2">
        <f ca="1">IF(TREND(OFFSET($F10,0,DoneDays-TrendDays,1,TrendDays),OFFSET($F13,0,DoneDays-TrendDays,1,TrendDays),O13)&lt;0,"",TREND(OFFSET($F10,0,DoneDays-TrendDays,1,TrendDays),OFFSET($F13,0,DoneDays-TrendDays,1,TrendDays),O13))</f>
        <v>5.5</v>
      </c>
      <c r="P12" s="2" t="str">
        <f ca="1">IF(TREND(OFFSET($F10,0,DoneDays-TrendDays,1,TrendDays),OFFSET($F13,0,DoneDays-TrendDays,1,TrendDays),P13)&lt;0,"",TREND(OFFSET($F10,0,DoneDays-TrendDays,1,TrendDays),OFFSET($F13,0,DoneDays-TrendDays,1,TrendDays),P13))</f>
        <v/>
      </c>
      <c r="Q12" s="2" t="str">
        <f ca="1">IF(TREND(OFFSET($F10,0,DoneDays-TrendDays,1,TrendDays),OFFSET($F13,0,DoneDays-TrendDays,1,TrendDays),Q13)&lt;0,"",TREND(OFFSET($F10,0,DoneDays-TrendDays,1,TrendDays),OFFSET($F13,0,DoneDays-TrendDays,1,TrendDays),Q13))</f>
        <v/>
      </c>
      <c r="R12" s="2" t="str">
        <f ca="1">IF(TREND(OFFSET($F10,0,DoneDays-TrendDays,1,TrendDays),OFFSET($F13,0,DoneDays-TrendDays,1,TrendDays),R13)&lt;0,"",TREND(OFFSET($F10,0,DoneDays-TrendDays,1,TrendDays),OFFSET($F13,0,DoneDays-TrendDays,1,TrendDays),R13))</f>
        <v/>
      </c>
      <c r="S12" s="2" t="str">
        <f ca="1">IF(TREND(OFFSET($F10,0,DoneDays-TrendDays,1,TrendDays),OFFSET($F13,0,DoneDays-TrendDays,1,TrendDays),S13)&lt;0,"",TREND(OFFSET($F10,0,DoneDays-TrendDays,1,TrendDays),OFFSET($F13,0,DoneDays-TrendDays,1,TrendDays),S13))</f>
        <v/>
      </c>
      <c r="T12" s="2" t="str">
        <f ca="1">IF(TREND(OFFSET($F10,0,DoneDays-TrendDays,1,TrendDays),OFFSET($F13,0,DoneDays-TrendDays,1,TrendDays),T13)&lt;0,"",TREND(OFFSET($F10,0,DoneDays-TrendDays,1,TrendDays),OFFSET($F13,0,DoneDays-TrendDays,1,TrendDays),T13))</f>
        <v/>
      </c>
      <c r="U12" s="2" t="str">
        <f ca="1">IF(TREND(OFFSET($F10,0,DoneDays-TrendDays,1,TrendDays),OFFSET($F13,0,DoneDays-TrendDays,1,TrendDays),U13)&lt;0,"",TREND(OFFSET($F10,0,DoneDays-TrendDays,1,TrendDays),OFFSET($F13,0,DoneDays-TrendDays,1,TrendDays),U13))</f>
        <v/>
      </c>
      <c r="V12" s="2" t="str">
        <f ca="1">IF(TREND(OFFSET($F10,0,DoneDays-TrendDays,1,TrendDays),OFFSET($F13,0,DoneDays-TrendDays,1,TrendDays),V13)&lt;0,"",TREND(OFFSET($F10,0,DoneDays-TrendDays,1,TrendDays),OFFSET($F13,0,DoneDays-TrendDays,1,TrendDays),V13))</f>
        <v/>
      </c>
      <c r="W12" s="2" t="str">
        <f ca="1">IF(TREND(OFFSET($F10,0,DoneDays-TrendDays,1,TrendDays),OFFSET($F13,0,DoneDays-TrendDays,1,TrendDays),W13)&lt;0,"",TREND(OFFSET($F10,0,DoneDays-TrendDays,1,TrendDays),OFFSET($F13,0,DoneDays-TrendDays,1,TrendDays),W13))</f>
        <v/>
      </c>
      <c r="X12" s="2" t="str">
        <f ca="1">IF(TREND(OFFSET($F10,0,DoneDays-TrendDays,1,TrendDays),OFFSET($F13,0,DoneDays-TrendDays,1,TrendDays),X13)&lt;0,"",TREND(OFFSET($F10,0,DoneDays-TrendDays,1,TrendDays),OFFSET($F13,0,DoneDays-TrendDays,1,TrendDays),X13))</f>
        <v/>
      </c>
      <c r="Y12" s="2" t="str">
        <f ca="1">IF(TREND(OFFSET($F10,0,DoneDays-TrendDays,1,TrendDays),OFFSET($F13,0,DoneDays-TrendDays,1,TrendDays),Y13)&lt;0,"",TREND(OFFSET($F10,0,DoneDays-TrendDays,1,TrendDays),OFFSET($F13,0,DoneDays-TrendDays,1,TrendDays),Y13))</f>
        <v/>
      </c>
      <c r="Z12" s="2" t="str">
        <f ca="1">IF(TREND(OFFSET($F10,0,DoneDays-TrendDays,1,TrendDays),OFFSET($F13,0,DoneDays-TrendDays,1,TrendDays),Z13)&lt;0,"",TREND(OFFSET($F10,0,DoneDays-TrendDays,1,TrendDays),OFFSET($F13,0,DoneDays-TrendDays,1,TrendDays),Z13))</f>
        <v/>
      </c>
      <c r="AA12" s="2" t="str">
        <f ca="1">IF(TREND(OFFSET($F10,0,DoneDays-TrendDays,1,TrendDays),OFFSET($F13,0,DoneDays-TrendDays,1,TrendDays),AA13)&lt;0,"",TREND(OFFSET($F10,0,DoneDays-TrendDays,1,TrendDays),OFFSET($F13,0,DoneDays-TrendDays,1,TrendDays),AA13))</f>
        <v/>
      </c>
      <c r="AB12" s="2" t="str">
        <f ca="1">IF(TREND(OFFSET($F10,0,DoneDays-TrendDays,1,TrendDays),OFFSET($F13,0,DoneDays-TrendDays,1,TrendDays),AB13)&lt;0,"",TREND(OFFSET($F10,0,DoneDays-TrendDays,1,TrendDays),OFFSET($F13,0,DoneDays-TrendDays,1,TrendDays),AB13))</f>
        <v/>
      </c>
      <c r="AC12" s="2" t="str">
        <f ca="1">IF(TREND(OFFSET($F10,0,DoneDays-TrendDays,1,TrendDays),OFFSET($F13,0,DoneDays-TrendDays,1,TrendDays),AC13)&lt;0,"",TREND(OFFSET($F10,0,DoneDays-TrendDays,1,TrendDays),OFFSET($F13,0,DoneDays-TrendDays,1,TrendDays),AC13))</f>
        <v/>
      </c>
      <c r="AD12" s="2" t="str">
        <f ca="1">IF(TREND(OFFSET($F10,0,DoneDays-TrendDays,1,TrendDays),OFFSET($F13,0,DoneDays-TrendDays,1,TrendDays),AD13)&lt;0,"",TREND(OFFSET($F10,0,DoneDays-TrendDays,1,TrendDays),OFFSET($F13,0,DoneDays-TrendDays,1,TrendDays),AD13))</f>
        <v/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>IF($B$9&gt;F14,F14+1,"")</f>
        <v>2</v>
      </c>
      <c r="H14" s="19">
        <f>IF($B$9&gt;G14,G14+1,"")</f>
        <v>3</v>
      </c>
      <c r="I14" s="19">
        <f>IF($B$9&gt;H14,H14+1,"")</f>
        <v>4</v>
      </c>
      <c r="J14" s="19">
        <f>IF($B$9&gt;I14,I14+1,"")</f>
        <v>5</v>
      </c>
      <c r="K14" s="19">
        <f>IF($B$9&gt;J14,J14+1,"")</f>
        <v>6</v>
      </c>
      <c r="L14" s="19">
        <f>IF($B$9&gt;K14,K14+1,"")</f>
        <v>7</v>
      </c>
      <c r="M14" s="19">
        <f>IF($B$9&gt;L14,L14+1,"")</f>
        <v>8</v>
      </c>
      <c r="N14" s="19">
        <f>IF($B$9&gt;M14,M14+1,"")</f>
        <v>9</v>
      </c>
      <c r="O14" s="19">
        <f>IF($B$9&gt;N14,N14+1,"")</f>
        <v>10</v>
      </c>
      <c r="P14" s="19" t="str">
        <f>IF($B$9&gt;O14,O14+1,"")</f>
        <v/>
      </c>
      <c r="Q14" s="19" t="str">
        <f>IF($B$9&gt;P14,P14+1,"")</f>
        <v/>
      </c>
      <c r="R14" s="19" t="str">
        <f>IF($B$9&gt;Q14,Q14+1,"")</f>
        <v/>
      </c>
      <c r="S14" s="19" t="str">
        <f>IF($B$9&gt;R14,R14+1,"")</f>
        <v/>
      </c>
      <c r="T14" s="19" t="str">
        <f>IF($B$9&gt;S14,S14+1,"")</f>
        <v/>
      </c>
      <c r="U14" s="19" t="str">
        <f>IF($B$9&gt;T14,T14+1,"")</f>
        <v/>
      </c>
      <c r="V14" s="19" t="str">
        <f>IF($B$9&gt;U14,U14+1,"")</f>
        <v/>
      </c>
      <c r="W14" s="19" t="str">
        <f>IF($B$9&gt;V14,V14+1,"")</f>
        <v/>
      </c>
      <c r="X14" s="19" t="str">
        <f>IF($B$9&gt;W14,W14+1,"")</f>
        <v/>
      </c>
      <c r="Y14" s="19" t="str">
        <f>IF($B$9&gt;X14,X14+1,"")</f>
        <v/>
      </c>
      <c r="Z14" s="19" t="str">
        <f>IF($B$9&gt;Y14,Y14+1,"")</f>
        <v/>
      </c>
      <c r="AA14" s="19" t="str">
        <f>IF($B$9&gt;Z14,Z14+1,"")</f>
        <v/>
      </c>
      <c r="AB14" s="19" t="str">
        <f>IF($B$9&gt;AA14,AA14+1,"")</f>
        <v/>
      </c>
      <c r="AC14" s="19" t="str">
        <f>IF($B$9&gt;AB14,AB14+1,"")</f>
        <v/>
      </c>
      <c r="AD14" s="19" t="str">
        <f>IF($B$9&gt;AC14,AC14+1,"")</f>
        <v/>
      </c>
    </row>
    <row r="15" spans="1:30" x14ac:dyDescent="0.2">
      <c r="A15" s="35" t="s">
        <v>129</v>
      </c>
      <c r="B15" s="34">
        <v>5</v>
      </c>
      <c r="C15" t="s">
        <v>130</v>
      </c>
      <c r="D15" s="35" t="s">
        <v>24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K15" s="2">
        <v>0.5</v>
      </c>
      <c r="L15" s="2">
        <v>0</v>
      </c>
      <c r="M15" s="2">
        <v>0</v>
      </c>
      <c r="N15" s="2">
        <v>0</v>
      </c>
      <c r="O15" s="2">
        <v>0</v>
      </c>
      <c r="AC15" s="2" t="str">
        <f>IF(OR(AC$14="",$E15=""),"",AB15)</f>
        <v/>
      </c>
      <c r="AD15" s="2" t="str">
        <f>IF(OR(AD$14="",$E15=""),"",AC15)</f>
        <v/>
      </c>
    </row>
    <row r="16" spans="1:30" x14ac:dyDescent="0.2">
      <c r="A16" s="35" t="s">
        <v>131</v>
      </c>
      <c r="B16" s="34">
        <v>5</v>
      </c>
      <c r="C16" t="s">
        <v>123</v>
      </c>
      <c r="D16" s="35" t="s">
        <v>31</v>
      </c>
      <c r="E16" s="34">
        <v>3</v>
      </c>
      <c r="F16" s="34">
        <v>3</v>
      </c>
      <c r="G16" s="34">
        <v>3</v>
      </c>
      <c r="H16" s="34">
        <v>3</v>
      </c>
      <c r="I16" s="34">
        <v>3</v>
      </c>
      <c r="J16" s="34">
        <v>3</v>
      </c>
      <c r="K16" s="2">
        <v>3</v>
      </c>
      <c r="L16" s="2">
        <v>2</v>
      </c>
      <c r="M16" s="2">
        <v>1</v>
      </c>
      <c r="N16" s="2">
        <v>0.5</v>
      </c>
      <c r="AC16" s="2" t="str">
        <f>IF(OR(AC$14="",$E16=""),"",AB16)</f>
        <v/>
      </c>
      <c r="AD16" s="2" t="str">
        <f>IF(OR(AD$14="",$E16=""),"",AC16)</f>
        <v/>
      </c>
    </row>
    <row r="17" spans="1:30" x14ac:dyDescent="0.2">
      <c r="A17" s="35" t="s">
        <v>134</v>
      </c>
      <c r="B17" s="34">
        <v>3</v>
      </c>
      <c r="C17" t="s">
        <v>121</v>
      </c>
      <c r="D17" s="35" t="s">
        <v>24</v>
      </c>
      <c r="E17" s="34">
        <v>1</v>
      </c>
      <c r="F17" s="34">
        <v>1</v>
      </c>
      <c r="G17" s="34">
        <v>1</v>
      </c>
      <c r="H17" s="34">
        <v>1</v>
      </c>
      <c r="I17" s="34">
        <v>1</v>
      </c>
      <c r="J17" s="34">
        <v>1</v>
      </c>
      <c r="K17" s="2">
        <v>1</v>
      </c>
      <c r="L17" s="2">
        <v>0</v>
      </c>
      <c r="M17" s="2">
        <v>0</v>
      </c>
      <c r="N17" s="2">
        <v>0</v>
      </c>
      <c r="O17" s="2">
        <v>0</v>
      </c>
      <c r="AC17" s="2" t="str">
        <f>IF(OR(AC$14="",$E17=""),"",AB17)</f>
        <v/>
      </c>
      <c r="AD17" s="2" t="str">
        <f>IF(OR(AD$14="",$E17=""),"",AC17)</f>
        <v/>
      </c>
    </row>
    <row r="18" spans="1:30" x14ac:dyDescent="0.2">
      <c r="A18" s="35" t="s">
        <v>135</v>
      </c>
      <c r="B18" s="34">
        <v>3</v>
      </c>
      <c r="C18" t="s">
        <v>123</v>
      </c>
      <c r="D18" s="35" t="s">
        <v>24</v>
      </c>
      <c r="E18" s="34">
        <v>5</v>
      </c>
      <c r="F18" s="34">
        <v>4</v>
      </c>
      <c r="G18" s="34">
        <v>3</v>
      </c>
      <c r="H18" s="34">
        <v>2</v>
      </c>
      <c r="I18" s="34">
        <v>0</v>
      </c>
      <c r="J18" s="34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AC18" s="2" t="str">
        <f>IF(OR(AC$14="",$E18=""),"",AB18)</f>
        <v/>
      </c>
      <c r="AD18" s="2" t="str">
        <f>IF(OR(AD$14="",$E18=""),"",AC18)</f>
        <v/>
      </c>
    </row>
    <row r="19" spans="1:30" x14ac:dyDescent="0.2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v>0</v>
      </c>
      <c r="AC19" s="2" t="str">
        <f>IF(OR(AC$14="",$E19=""),"",AB19)</f>
        <v/>
      </c>
      <c r="AD19" s="2" t="str">
        <f>IF(OR(AD$14="",$E19=""),"",AC19)</f>
        <v/>
      </c>
    </row>
    <row r="20" spans="1:30" x14ac:dyDescent="0.2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v>0</v>
      </c>
      <c r="AC20" s="2" t="str">
        <f>IF(OR(AC$14="",$E20=""),"",AB20)</f>
        <v/>
      </c>
      <c r="AD20" s="2" t="str">
        <f>IF(OR(AD$14="",$E20=""),"",AC20)</f>
        <v/>
      </c>
    </row>
    <row r="21" spans="1:30" x14ac:dyDescent="0.2">
      <c r="A21" s="35" t="s">
        <v>149</v>
      </c>
      <c r="B21" s="34"/>
      <c r="C21" t="s">
        <v>132</v>
      </c>
      <c r="D21" s="35" t="s">
        <v>24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AC21" s="2" t="str">
        <f>IF(OR(AC$14="",$E21=""),"",AB21)</f>
        <v/>
      </c>
      <c r="AD21" s="2" t="str">
        <f>IF(OR(AD$14="",$E21=""),"",AC21)</f>
        <v/>
      </c>
    </row>
    <row r="25" spans="1:30" x14ac:dyDescent="0.2">
      <c r="A25" s="35" t="s">
        <v>151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AC25" s="2" t="str">
        <f>IF(OR(AC$14="",$E25=""),"",AB25)</f>
        <v/>
      </c>
      <c r="AD25" s="2" t="str">
        <f>IF(OR(AD$14="",$E25=""),"",AC25)</f>
        <v/>
      </c>
    </row>
    <row r="26" spans="1:30" x14ac:dyDescent="0.2">
      <c r="A26" s="35"/>
      <c r="B26" s="34"/>
      <c r="D26" s="35"/>
      <c r="E26" s="34"/>
      <c r="F26" s="34"/>
      <c r="G26" s="34"/>
      <c r="H26" s="34"/>
      <c r="I26" s="34"/>
      <c r="J26" s="34"/>
    </row>
    <row r="27" spans="1:30" x14ac:dyDescent="0.2">
      <c r="A27" s="35" t="s">
        <v>142</v>
      </c>
      <c r="B27" s="34">
        <v>5</v>
      </c>
      <c r="D27" s="35"/>
      <c r="E27" s="34"/>
      <c r="F27" s="34"/>
      <c r="G27" s="34"/>
      <c r="H27" s="34"/>
      <c r="I27" s="34"/>
      <c r="J27" s="34"/>
      <c r="AC27" s="2" t="str">
        <f>IF(OR(AC$14="",$E27=""),"",AB27)</f>
        <v/>
      </c>
      <c r="AD27" s="2" t="str">
        <f>IF(OR(AD$14="",$E27=""),"",AC27)</f>
        <v/>
      </c>
    </row>
    <row r="28" spans="1:30" x14ac:dyDescent="0.2">
      <c r="A28" s="35" t="s">
        <v>152</v>
      </c>
      <c r="B28" s="34">
        <v>5</v>
      </c>
      <c r="C28" t="s">
        <v>153</v>
      </c>
      <c r="D28" s="35" t="s">
        <v>24</v>
      </c>
      <c r="E28" s="34">
        <v>5</v>
      </c>
      <c r="F28" s="34">
        <v>5</v>
      </c>
      <c r="G28" s="34">
        <v>3</v>
      </c>
      <c r="H28" s="34">
        <v>3</v>
      </c>
      <c r="I28" s="34">
        <v>2</v>
      </c>
      <c r="J28" s="34">
        <v>1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</row>
    <row r="29" spans="1:30" x14ac:dyDescent="0.2">
      <c r="A29" s="35" t="s">
        <v>154</v>
      </c>
      <c r="B29" s="34">
        <v>5</v>
      </c>
      <c r="C29" t="s">
        <v>132</v>
      </c>
      <c r="D29" s="35" t="s">
        <v>24</v>
      </c>
      <c r="E29" s="34">
        <v>5</v>
      </c>
      <c r="F29" s="34">
        <v>5</v>
      </c>
      <c r="G29" s="34">
        <v>5</v>
      </c>
      <c r="H29" s="34">
        <v>5</v>
      </c>
      <c r="I29" s="34">
        <v>5</v>
      </c>
      <c r="J29" s="34">
        <v>4</v>
      </c>
      <c r="K29" s="2">
        <v>3</v>
      </c>
      <c r="L29" s="2">
        <v>2</v>
      </c>
      <c r="M29" s="2">
        <v>0</v>
      </c>
      <c r="N29" s="2">
        <v>0</v>
      </c>
      <c r="O29" s="2">
        <v>0</v>
      </c>
    </row>
    <row r="30" spans="1:30" x14ac:dyDescent="0.2">
      <c r="A30" s="35" t="s">
        <v>179</v>
      </c>
      <c r="B30" s="34">
        <v>5</v>
      </c>
      <c r="C30" t="s">
        <v>125</v>
      </c>
      <c r="D30" s="35" t="s">
        <v>24</v>
      </c>
      <c r="E30" s="34">
        <v>3</v>
      </c>
      <c r="F30" s="34">
        <v>3</v>
      </c>
      <c r="G30" s="34">
        <v>1</v>
      </c>
      <c r="H30" s="34">
        <v>1</v>
      </c>
      <c r="I30" s="34">
        <v>1</v>
      </c>
      <c r="J30" s="34">
        <v>1</v>
      </c>
      <c r="K30" s="2">
        <v>1</v>
      </c>
      <c r="L30" s="2">
        <v>0</v>
      </c>
      <c r="M30" s="2">
        <v>0</v>
      </c>
      <c r="N30" s="2">
        <v>0</v>
      </c>
      <c r="O30" s="2">
        <v>0</v>
      </c>
    </row>
    <row r="31" spans="1:30" x14ac:dyDescent="0.2">
      <c r="A31" s="35" t="s">
        <v>155</v>
      </c>
      <c r="B31" s="34">
        <v>5</v>
      </c>
      <c r="C31" t="s">
        <v>125</v>
      </c>
      <c r="D31" s="35" t="s">
        <v>24</v>
      </c>
      <c r="E31" s="34">
        <v>1</v>
      </c>
      <c r="F31" s="34">
        <v>1</v>
      </c>
      <c r="G31" s="34">
        <v>0</v>
      </c>
      <c r="H31" s="34">
        <v>0</v>
      </c>
      <c r="I31" s="34">
        <v>0</v>
      </c>
      <c r="J31" s="34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</row>
    <row r="32" spans="1:30" x14ac:dyDescent="0.2">
      <c r="A32" s="35" t="s">
        <v>156</v>
      </c>
      <c r="B32" s="34">
        <v>6</v>
      </c>
      <c r="C32" t="s">
        <v>125</v>
      </c>
      <c r="D32" s="35" t="s">
        <v>31</v>
      </c>
      <c r="E32" s="34">
        <v>2</v>
      </c>
      <c r="F32" s="34">
        <v>2</v>
      </c>
      <c r="G32" s="34">
        <v>1</v>
      </c>
      <c r="H32" s="34">
        <v>1</v>
      </c>
      <c r="I32" s="34">
        <v>1</v>
      </c>
      <c r="J32" s="34">
        <v>1</v>
      </c>
      <c r="K32" s="2">
        <v>1</v>
      </c>
      <c r="L32" s="2">
        <v>1</v>
      </c>
      <c r="M32" s="2">
        <v>1</v>
      </c>
      <c r="N32" s="2">
        <v>1</v>
      </c>
      <c r="O32" s="2">
        <v>1</v>
      </c>
    </row>
    <row r="33" spans="1:30" x14ac:dyDescent="0.2">
      <c r="A33" s="35" t="s">
        <v>187</v>
      </c>
      <c r="B33" s="34">
        <v>5</v>
      </c>
      <c r="D33" s="35" t="s">
        <v>24</v>
      </c>
      <c r="E33" s="34">
        <v>4</v>
      </c>
      <c r="F33" s="34">
        <v>4</v>
      </c>
      <c r="G33" s="34">
        <v>4</v>
      </c>
      <c r="H33" s="34">
        <v>4</v>
      </c>
      <c r="I33" s="34">
        <v>4</v>
      </c>
      <c r="J33" s="34">
        <v>4</v>
      </c>
      <c r="K33" s="34">
        <v>4</v>
      </c>
      <c r="L33" s="34">
        <v>4</v>
      </c>
      <c r="M33" s="34">
        <v>3</v>
      </c>
      <c r="N33" s="2">
        <v>0</v>
      </c>
      <c r="O33" s="2">
        <v>0</v>
      </c>
    </row>
    <row r="34" spans="1:30" x14ac:dyDescent="0.2">
      <c r="A34" s="35"/>
      <c r="B34" s="34"/>
      <c r="D34" s="35"/>
      <c r="E34" s="34"/>
      <c r="F34" s="34"/>
      <c r="G34" s="34"/>
      <c r="H34" s="34"/>
      <c r="I34" s="34"/>
      <c r="J34" s="34"/>
    </row>
    <row r="35" spans="1:30" x14ac:dyDescent="0.2">
      <c r="A35" s="35" t="s">
        <v>157</v>
      </c>
      <c r="B35" s="34">
        <v>6</v>
      </c>
      <c r="D35" s="35"/>
      <c r="E35" s="34"/>
      <c r="F35" s="34"/>
      <c r="G35" s="34"/>
      <c r="H35" s="34"/>
      <c r="I35" s="34"/>
      <c r="J35" s="34"/>
    </row>
    <row r="36" spans="1:30" x14ac:dyDescent="0.2">
      <c r="A36" s="35" t="s">
        <v>158</v>
      </c>
      <c r="B36" s="34">
        <v>6</v>
      </c>
      <c r="C36" t="s">
        <v>153</v>
      </c>
      <c r="D36" s="35" t="s">
        <v>31</v>
      </c>
      <c r="E36" s="34">
        <v>5</v>
      </c>
      <c r="F36" s="34">
        <v>5</v>
      </c>
      <c r="G36" s="34">
        <v>5</v>
      </c>
      <c r="H36" s="34">
        <v>5</v>
      </c>
      <c r="I36" s="34">
        <v>5</v>
      </c>
      <c r="J36" s="34">
        <v>5</v>
      </c>
      <c r="K36" s="2">
        <v>10</v>
      </c>
      <c r="L36" s="2">
        <v>6</v>
      </c>
      <c r="M36" s="2">
        <v>3</v>
      </c>
      <c r="N36" s="2">
        <v>3</v>
      </c>
      <c r="O36" s="2">
        <v>3</v>
      </c>
    </row>
    <row r="37" spans="1:30" x14ac:dyDescent="0.2">
      <c r="A37" s="35" t="s">
        <v>159</v>
      </c>
      <c r="B37" s="34">
        <v>6</v>
      </c>
      <c r="C37" t="s">
        <v>153</v>
      </c>
      <c r="D37" s="35" t="s">
        <v>31</v>
      </c>
      <c r="E37" s="34">
        <v>2</v>
      </c>
      <c r="F37" s="34">
        <v>2</v>
      </c>
      <c r="G37" s="34">
        <v>2</v>
      </c>
      <c r="H37" s="34">
        <v>2</v>
      </c>
      <c r="I37" s="34">
        <v>2</v>
      </c>
      <c r="J37" s="34">
        <v>2</v>
      </c>
      <c r="K37" s="2">
        <v>2</v>
      </c>
      <c r="L37" s="2">
        <v>2</v>
      </c>
      <c r="M37" s="2">
        <v>2</v>
      </c>
      <c r="N37" s="2">
        <v>2</v>
      </c>
      <c r="O37" s="2">
        <v>2</v>
      </c>
    </row>
    <row r="38" spans="1:30" x14ac:dyDescent="0.2">
      <c r="A38" s="35"/>
      <c r="B38" s="34"/>
      <c r="D38" s="35"/>
      <c r="E38" s="34"/>
      <c r="F38" s="34"/>
      <c r="G38" s="34"/>
      <c r="H38" s="34"/>
      <c r="I38" s="34"/>
      <c r="J38" s="34"/>
    </row>
    <row r="39" spans="1:30" x14ac:dyDescent="0.2">
      <c r="A39" s="35" t="s">
        <v>160</v>
      </c>
      <c r="B39" s="34">
        <v>5</v>
      </c>
      <c r="C39" t="s">
        <v>137</v>
      </c>
      <c r="D39" s="35" t="s">
        <v>24</v>
      </c>
      <c r="E39" s="34">
        <v>2</v>
      </c>
      <c r="F39" s="34">
        <v>2</v>
      </c>
      <c r="G39" s="34">
        <v>1</v>
      </c>
      <c r="H39" s="34">
        <v>0</v>
      </c>
      <c r="I39" s="34">
        <v>0</v>
      </c>
      <c r="J39" s="34">
        <v>0</v>
      </c>
      <c r="K39" s="2">
        <v>0</v>
      </c>
      <c r="L39" s="2">
        <v>0</v>
      </c>
      <c r="M39" s="2">
        <v>0</v>
      </c>
      <c r="N39" s="2">
        <v>0</v>
      </c>
      <c r="O39" s="2">
        <v>0</v>
      </c>
    </row>
    <row r="40" spans="1:30" x14ac:dyDescent="0.2">
      <c r="A40" s="35" t="s">
        <v>161</v>
      </c>
      <c r="B40" s="34">
        <v>5</v>
      </c>
      <c r="C40" t="s">
        <v>137</v>
      </c>
      <c r="D40" s="35" t="s">
        <v>147</v>
      </c>
      <c r="E40" s="34">
        <v>1</v>
      </c>
      <c r="F40" s="34">
        <v>1</v>
      </c>
      <c r="G40" s="34">
        <v>1</v>
      </c>
      <c r="H40" s="34">
        <v>0</v>
      </c>
      <c r="I40" s="34">
        <v>0</v>
      </c>
      <c r="J40" s="34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</row>
    <row r="41" spans="1:30" x14ac:dyDescent="0.2">
      <c r="A41" s="35" t="s">
        <v>162</v>
      </c>
      <c r="B41" s="34">
        <v>5</v>
      </c>
      <c r="C41" t="s">
        <v>137</v>
      </c>
      <c r="D41" s="35" t="s">
        <v>24</v>
      </c>
      <c r="E41" s="34">
        <v>1</v>
      </c>
      <c r="F41" s="34">
        <v>1</v>
      </c>
      <c r="G41" s="34">
        <v>0</v>
      </c>
      <c r="H41" s="34">
        <v>0</v>
      </c>
      <c r="I41" s="34">
        <v>0</v>
      </c>
      <c r="J41" s="34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</row>
    <row r="42" spans="1:30" x14ac:dyDescent="0.2">
      <c r="A42" s="35" t="s">
        <v>143</v>
      </c>
      <c r="B42" s="34">
        <v>5</v>
      </c>
      <c r="C42" t="s">
        <v>137</v>
      </c>
      <c r="D42" s="35" t="s">
        <v>24</v>
      </c>
      <c r="E42" s="34">
        <v>3</v>
      </c>
      <c r="F42" s="34">
        <v>3</v>
      </c>
      <c r="G42" s="34">
        <v>3</v>
      </c>
      <c r="H42" s="34">
        <v>2</v>
      </c>
      <c r="I42" s="34">
        <v>1</v>
      </c>
      <c r="J42" s="34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AC42" s="2" t="str">
        <f>IF(OR(AC$14="",$E42=""),"",AB42)</f>
        <v/>
      </c>
      <c r="AD42" s="2" t="str">
        <f>IF(OR(AD$14="",$E42=""),"",AC42)</f>
        <v/>
      </c>
    </row>
    <row r="43" spans="1:30" x14ac:dyDescent="0.2">
      <c r="A43" s="35" t="s">
        <v>144</v>
      </c>
      <c r="B43" s="34">
        <v>7</v>
      </c>
      <c r="C43" t="s">
        <v>125</v>
      </c>
      <c r="D43" s="35" t="s">
        <v>24</v>
      </c>
      <c r="E43" s="34">
        <v>1</v>
      </c>
      <c r="F43" s="34">
        <v>1</v>
      </c>
      <c r="G43" s="34">
        <v>1</v>
      </c>
      <c r="H43" s="34">
        <v>1</v>
      </c>
      <c r="I43" s="34">
        <v>0</v>
      </c>
      <c r="J43" s="34">
        <v>0</v>
      </c>
      <c r="K43" s="2">
        <v>0</v>
      </c>
      <c r="L43" s="2">
        <v>0</v>
      </c>
      <c r="M43" s="2">
        <v>0</v>
      </c>
      <c r="N43" s="2">
        <v>0</v>
      </c>
      <c r="O43" s="2">
        <v>0</v>
      </c>
      <c r="AC43" s="2" t="str">
        <f>IF(OR(AC$14="",$E43=""),"",AB43)</f>
        <v/>
      </c>
      <c r="AD43" s="2" t="str">
        <f>IF(OR(AD$14="",$E43=""),"",AC43)</f>
        <v/>
      </c>
    </row>
    <row r="44" spans="1:30" x14ac:dyDescent="0.2">
      <c r="A44" s="35" t="s">
        <v>163</v>
      </c>
      <c r="B44" s="2">
        <v>7</v>
      </c>
      <c r="C44" t="s">
        <v>137</v>
      </c>
      <c r="D44" s="35" t="s">
        <v>24</v>
      </c>
      <c r="E44" s="2">
        <v>3</v>
      </c>
      <c r="F44" s="2">
        <v>3</v>
      </c>
      <c r="G44" s="2">
        <v>3</v>
      </c>
      <c r="H44" s="2">
        <v>2</v>
      </c>
      <c r="I44" s="2">
        <v>1</v>
      </c>
      <c r="J44" s="34">
        <v>0</v>
      </c>
      <c r="K44" s="2">
        <v>0</v>
      </c>
      <c r="L44" s="2">
        <v>0</v>
      </c>
      <c r="M44" s="2">
        <v>0</v>
      </c>
      <c r="N44" s="2">
        <v>0</v>
      </c>
      <c r="O44" s="2">
        <v>0</v>
      </c>
      <c r="AC44" s="2" t="str">
        <f>IF(OR(AC$14="",$E44=""),"",AB44)</f>
        <v/>
      </c>
      <c r="AD44" s="2" t="str">
        <f>IF(OR(AD$14="",$E44=""),"",AC44)</f>
        <v/>
      </c>
    </row>
    <row r="45" spans="1:30" x14ac:dyDescent="0.2">
      <c r="A45" s="35" t="s">
        <v>164</v>
      </c>
      <c r="C45" t="s">
        <v>137</v>
      </c>
      <c r="D45" t="s">
        <v>31</v>
      </c>
      <c r="E45" s="2">
        <v>1</v>
      </c>
      <c r="F45" s="2">
        <f>IF(OR(F$14="",$E45=""),"",E45)</f>
        <v>1</v>
      </c>
      <c r="G45" s="2">
        <v>1</v>
      </c>
      <c r="H45" s="2">
        <v>1</v>
      </c>
      <c r="I45" s="2">
        <v>1</v>
      </c>
      <c r="J45" s="2">
        <v>1</v>
      </c>
      <c r="K45" s="2">
        <v>1</v>
      </c>
      <c r="L45" s="2">
        <v>1</v>
      </c>
      <c r="M45" s="2">
        <v>1</v>
      </c>
      <c r="N45" s="2">
        <v>1</v>
      </c>
      <c r="O45" s="2">
        <v>1</v>
      </c>
      <c r="AC45" s="2" t="str">
        <f>IF(OR(AC$14="",$E45=""),"",AB45)</f>
        <v/>
      </c>
      <c r="AD45" s="2" t="str">
        <f>IF(OR(AD$14="",$E45=""),"",AC45)</f>
        <v/>
      </c>
    </row>
    <row r="46" spans="1:30" x14ac:dyDescent="0.2">
      <c r="A46" s="35"/>
    </row>
    <row r="47" spans="1:30" x14ac:dyDescent="0.2">
      <c r="A47" s="35" t="s">
        <v>165</v>
      </c>
      <c r="B47" s="2">
        <v>8</v>
      </c>
    </row>
    <row r="48" spans="1:30" x14ac:dyDescent="0.2">
      <c r="A48" s="35" t="s">
        <v>166</v>
      </c>
      <c r="B48" s="2">
        <v>8</v>
      </c>
      <c r="C48" t="s">
        <v>137</v>
      </c>
      <c r="D48" t="s">
        <v>24</v>
      </c>
      <c r="E48" s="2">
        <v>0.5</v>
      </c>
      <c r="F48" s="2">
        <v>0.5</v>
      </c>
      <c r="G48" s="2">
        <v>0.5</v>
      </c>
      <c r="H48" s="2">
        <v>0.5</v>
      </c>
      <c r="I48" s="2">
        <v>0.5</v>
      </c>
      <c r="J48" s="2">
        <v>0.5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</row>
    <row r="49" spans="1:30" x14ac:dyDescent="0.2">
      <c r="A49" s="35" t="s">
        <v>167</v>
      </c>
      <c r="B49" s="2">
        <v>8</v>
      </c>
      <c r="C49" t="s">
        <v>137</v>
      </c>
      <c r="D49" t="s">
        <v>24</v>
      </c>
      <c r="E49" s="2">
        <v>1</v>
      </c>
      <c r="F49" s="2">
        <v>1</v>
      </c>
      <c r="G49" s="2">
        <v>1</v>
      </c>
      <c r="H49" s="2">
        <v>1</v>
      </c>
      <c r="I49" s="2">
        <v>1</v>
      </c>
      <c r="J49" s="2">
        <v>1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</row>
    <row r="50" spans="1:30" x14ac:dyDescent="0.2">
      <c r="A50" s="35" t="s">
        <v>168</v>
      </c>
      <c r="B50" s="2">
        <v>8</v>
      </c>
      <c r="C50" t="s">
        <v>137</v>
      </c>
      <c r="D50" t="s">
        <v>24</v>
      </c>
      <c r="E50" s="2">
        <v>2</v>
      </c>
      <c r="F50" s="2">
        <v>2</v>
      </c>
      <c r="G50" s="2">
        <v>2</v>
      </c>
      <c r="H50" s="2">
        <v>2</v>
      </c>
      <c r="I50" s="2">
        <v>2</v>
      </c>
      <c r="J50" s="2">
        <v>2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</row>
    <row r="51" spans="1:30" x14ac:dyDescent="0.2">
      <c r="A51" s="35"/>
    </row>
    <row r="52" spans="1:30" x14ac:dyDescent="0.2">
      <c r="A52" s="35" t="s">
        <v>169</v>
      </c>
      <c r="B52" s="85">
        <v>8</v>
      </c>
      <c r="C52" t="s">
        <v>137</v>
      </c>
      <c r="D52" t="s">
        <v>24</v>
      </c>
      <c r="E52" s="2">
        <v>4</v>
      </c>
      <c r="F52" s="2">
        <v>4</v>
      </c>
      <c r="G52" s="2">
        <v>4</v>
      </c>
      <c r="H52" s="2">
        <v>4</v>
      </c>
      <c r="I52" s="2">
        <v>3</v>
      </c>
      <c r="J52" s="2">
        <v>1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</row>
    <row r="53" spans="1:30" x14ac:dyDescent="0.2">
      <c r="A53" s="35" t="s">
        <v>170</v>
      </c>
      <c r="B53" s="2">
        <v>8</v>
      </c>
      <c r="C53" t="s">
        <v>137</v>
      </c>
      <c r="D53" t="s">
        <v>24</v>
      </c>
      <c r="E53" s="2">
        <v>2</v>
      </c>
      <c r="F53" s="2">
        <v>2</v>
      </c>
      <c r="G53" s="2">
        <v>2</v>
      </c>
      <c r="H53" s="2">
        <v>2</v>
      </c>
      <c r="I53" s="2">
        <v>1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</row>
    <row r="54" spans="1:30" x14ac:dyDescent="0.2">
      <c r="A54" s="35" t="s">
        <v>171</v>
      </c>
      <c r="B54" s="2">
        <v>8</v>
      </c>
      <c r="C54" t="s">
        <v>137</v>
      </c>
      <c r="D54" t="s">
        <v>24</v>
      </c>
      <c r="E54" s="2">
        <v>1</v>
      </c>
      <c r="F54" s="2">
        <v>1</v>
      </c>
      <c r="G54" s="2">
        <v>1</v>
      </c>
      <c r="H54" s="2">
        <v>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</row>
    <row r="55" spans="1:30" x14ac:dyDescent="0.2">
      <c r="A55" s="35" t="s">
        <v>180</v>
      </c>
      <c r="B55" s="2">
        <v>8</v>
      </c>
      <c r="C55" t="s">
        <v>132</v>
      </c>
      <c r="D55" t="s">
        <v>24</v>
      </c>
      <c r="E55" s="2">
        <v>2</v>
      </c>
      <c r="F55" s="2">
        <v>2</v>
      </c>
      <c r="G55" s="2">
        <v>2</v>
      </c>
      <c r="H55" s="2">
        <v>2</v>
      </c>
      <c r="I55" s="2">
        <v>2</v>
      </c>
      <c r="J55" s="2">
        <v>2</v>
      </c>
      <c r="K55" s="2">
        <v>1</v>
      </c>
      <c r="L55" s="2">
        <v>1</v>
      </c>
      <c r="M55" s="2">
        <v>1</v>
      </c>
      <c r="N55" s="2">
        <v>2</v>
      </c>
      <c r="O55" s="2">
        <v>0</v>
      </c>
    </row>
    <row r="56" spans="1:30" x14ac:dyDescent="0.2">
      <c r="D56" t="str">
        <f t="shared" ref="D56" si="0">IF(A56&lt;&gt;"","Planned","")</f>
        <v/>
      </c>
      <c r="F56" s="2" t="str">
        <f>IF(OR(F$14="",$E56=""),"",E56)</f>
        <v/>
      </c>
      <c r="AC56" s="2" t="str">
        <f>IF(OR(AC$14="",$E56=""),"",AB56)</f>
        <v/>
      </c>
      <c r="AD56" s="2" t="str">
        <f>IF(OR(AD$14="",$E56=""),"",AC56)</f>
        <v/>
      </c>
    </row>
    <row r="57" spans="1:30" x14ac:dyDescent="0.2">
      <c r="A57" t="s">
        <v>172</v>
      </c>
      <c r="F57" s="2" t="str">
        <f>IF(OR(F$14="",$E57=""),"",E57)</f>
        <v/>
      </c>
      <c r="AC57" s="2" t="str">
        <f>IF(OR(AC$14="",$E57=""),"",AB57)</f>
        <v/>
      </c>
      <c r="AD57" s="2" t="str">
        <f>IF(OR(AD$14="",$E57=""),"",AC57)</f>
        <v/>
      </c>
    </row>
    <row r="58" spans="1:30" x14ac:dyDescent="0.2">
      <c r="A58" t="s">
        <v>173</v>
      </c>
      <c r="C58" t="s">
        <v>137</v>
      </c>
      <c r="D58" t="s">
        <v>24</v>
      </c>
      <c r="E58" s="2">
        <v>1</v>
      </c>
      <c r="F58" s="2">
        <f>IF(OR(F$14="",$E58=""),"",E58)</f>
        <v>1</v>
      </c>
      <c r="G58" s="2">
        <v>1</v>
      </c>
      <c r="H58" s="2">
        <v>1</v>
      </c>
      <c r="I58" s="2">
        <v>1</v>
      </c>
      <c r="J58" s="2">
        <v>1</v>
      </c>
      <c r="K58" s="2">
        <v>1</v>
      </c>
      <c r="L58" s="2">
        <v>0</v>
      </c>
      <c r="M58" s="2">
        <v>0</v>
      </c>
      <c r="N58" s="2">
        <v>0</v>
      </c>
      <c r="O58" s="2">
        <v>0</v>
      </c>
      <c r="AC58" s="2" t="str">
        <f>IF(OR(AC$14="",$E58=""),"",AB58)</f>
        <v/>
      </c>
      <c r="AD58" s="2" t="str">
        <f>IF(OR(AD$14="",$E58=""),"",AC58)</f>
        <v/>
      </c>
    </row>
    <row r="59" spans="1:30" x14ac:dyDescent="0.2">
      <c r="A59" t="s">
        <v>174</v>
      </c>
      <c r="C59" t="s">
        <v>137</v>
      </c>
      <c r="D59" t="s">
        <v>24</v>
      </c>
      <c r="E59" s="2">
        <v>1</v>
      </c>
      <c r="F59" s="2">
        <f>IF(OR(F$14="",$E59=""),"",E59)</f>
        <v>1</v>
      </c>
      <c r="G59" s="2">
        <f>IF(OR(G$14="",$E59=""),"",F59)</f>
        <v>1</v>
      </c>
      <c r="H59" s="2">
        <f>IF(OR(H$14="",$E59=""),"",G59)</f>
        <v>1</v>
      </c>
      <c r="I59" s="2">
        <f>IF(OR(I$14="",$E59=""),"",H59)</f>
        <v>1</v>
      </c>
      <c r="J59" s="2">
        <f>IF(OR(J$14="",$E59=""),"",I59)</f>
        <v>1</v>
      </c>
      <c r="K59" s="2">
        <f>IF(OR(K$14="",$E59=""),"",J59)</f>
        <v>1</v>
      </c>
      <c r="L59" s="2">
        <v>0</v>
      </c>
      <c r="M59" s="2">
        <f>IF(OR(M$14="",$E59=""),"",L59)</f>
        <v>0</v>
      </c>
      <c r="N59" s="2">
        <f>IF(OR(N$14="",$E59=""),"",M59)</f>
        <v>0</v>
      </c>
      <c r="O59" s="2">
        <f>IF(OR(O$14="",$E59=""),"",N59)</f>
        <v>0</v>
      </c>
      <c r="P59" s="2" t="str">
        <f>IF(OR(P$14="",$E59=""),"",O59)</f>
        <v/>
      </c>
      <c r="Q59" s="2" t="str">
        <f>IF(OR(Q$14="",$E59=""),"",P59)</f>
        <v/>
      </c>
      <c r="R59" s="2" t="str">
        <f>IF(OR(R$14="",$E59=""),"",Q59)</f>
        <v/>
      </c>
      <c r="S59" s="2" t="str">
        <f>IF(OR(S$14="",$E59=""),"",R59)</f>
        <v/>
      </c>
      <c r="T59" s="2" t="str">
        <f>IF(OR(T$14="",$E59=""),"",S59)</f>
        <v/>
      </c>
      <c r="U59" s="2" t="str">
        <f>IF(OR(U$14="",$E59=""),"",T59)</f>
        <v/>
      </c>
      <c r="V59" s="2" t="str">
        <f>IF(OR(V$14="",$E59=""),"",U59)</f>
        <v/>
      </c>
      <c r="W59" s="2" t="str">
        <f>IF(OR(W$14="",$E59=""),"",V59)</f>
        <v/>
      </c>
      <c r="X59" s="2" t="str">
        <f>IF(OR(X$14="",$E59=""),"",W59)</f>
        <v/>
      </c>
      <c r="Y59" s="2" t="str">
        <f>IF(OR(Y$14="",$E59=""),"",X59)</f>
        <v/>
      </c>
      <c r="Z59" s="2" t="str">
        <f>IF(OR(Z$14="",$E59=""),"",Y59)</f>
        <v/>
      </c>
      <c r="AA59" s="2" t="str">
        <f>IF(OR(AA$14="",$E59=""),"",Z59)</f>
        <v/>
      </c>
      <c r="AB59" s="2" t="str">
        <f>IF(OR(AB$14="",$E59=""),"",AA59)</f>
        <v/>
      </c>
      <c r="AC59" s="2" t="str">
        <f>IF(OR(AC$14="",$E59=""),"",AB59)</f>
        <v/>
      </c>
      <c r="AD59" s="2" t="str">
        <f>IF(OR(AD$14="",$E59=""),"",AC59)</f>
        <v/>
      </c>
    </row>
    <row r="61" spans="1:30" x14ac:dyDescent="0.2">
      <c r="A61" t="s">
        <v>175</v>
      </c>
      <c r="C61" t="s">
        <v>137</v>
      </c>
      <c r="D61" t="s">
        <v>147</v>
      </c>
      <c r="E61" s="2">
        <v>1</v>
      </c>
      <c r="F61" s="2">
        <f>IF(OR(F$14="",$E61=""),"",E61)</f>
        <v>1</v>
      </c>
      <c r="G61" s="2">
        <f>IF(OR(G$14="",$E61=""),"",F61)</f>
        <v>1</v>
      </c>
      <c r="H61" s="2">
        <f>IF(OR(H$14="",$E61=""),"",G61)</f>
        <v>1</v>
      </c>
      <c r="I61" s="2">
        <f>IF(OR(I$14="",$E61=""),"",H61)</f>
        <v>1</v>
      </c>
      <c r="J61" s="2">
        <f>IF(OR(J$14="",$E61=""),"",I61)</f>
        <v>1</v>
      </c>
      <c r="K61" s="2">
        <f>IF(OR(K$14="",$E61=""),"",J61)</f>
        <v>1</v>
      </c>
      <c r="L61" s="2">
        <f>IF(OR(L$14="",$E61=""),"",K61)</f>
        <v>1</v>
      </c>
      <c r="M61" s="2">
        <f>IF(OR(M$14="",$E61=""),"",L61)</f>
        <v>1</v>
      </c>
      <c r="N61" s="2">
        <f>IF(OR(N$14="",$E61=""),"",M61)</f>
        <v>1</v>
      </c>
      <c r="O61" s="2">
        <v>0</v>
      </c>
      <c r="P61" s="2" t="str">
        <f>IF(OR(P$14="",$E61=""),"",O61)</f>
        <v/>
      </c>
      <c r="Q61" s="2" t="str">
        <f>IF(OR(Q$14="",$E61=""),"",P61)</f>
        <v/>
      </c>
      <c r="R61" s="2" t="str">
        <f>IF(OR(R$14="",$E61=""),"",Q61)</f>
        <v/>
      </c>
      <c r="S61" s="2" t="str">
        <f>IF(OR(S$14="",$E61=""),"",R61)</f>
        <v/>
      </c>
      <c r="T61" s="2" t="str">
        <f>IF(OR(T$14="",$E61=""),"",S61)</f>
        <v/>
      </c>
      <c r="U61" s="2" t="str">
        <f>IF(OR(U$14="",$E61=""),"",T61)</f>
        <v/>
      </c>
      <c r="V61" s="2" t="str">
        <f>IF(OR(V$14="",$E61=""),"",U61)</f>
        <v/>
      </c>
      <c r="W61" s="2" t="str">
        <f>IF(OR(W$14="",$E61=""),"",V61)</f>
        <v/>
      </c>
      <c r="X61" s="2" t="str">
        <f>IF(OR(X$14="",$E61=""),"",W61)</f>
        <v/>
      </c>
      <c r="Y61" s="2" t="str">
        <f>IF(OR(Y$14="",$E61=""),"",X61)</f>
        <v/>
      </c>
      <c r="Z61" s="2" t="str">
        <f>IF(OR(Z$14="",$E61=""),"",Y61)</f>
        <v/>
      </c>
      <c r="AA61" s="2" t="str">
        <f>IF(OR(AA$14="",$E61=""),"",Z61)</f>
        <v/>
      </c>
      <c r="AB61" s="2" t="str">
        <f>IF(OR(AB$14="",$E61=""),"",AA61)</f>
        <v/>
      </c>
      <c r="AC61" s="2" t="str">
        <f>IF(OR(AC$14="",$E61=""),"",AB61)</f>
        <v/>
      </c>
      <c r="AD61" s="2" t="str">
        <f>IF(OR(AD$14="",$E61=""),"",AC61)</f>
        <v/>
      </c>
    </row>
    <row r="63" spans="1:30" x14ac:dyDescent="0.2">
      <c r="A63" t="s">
        <v>176</v>
      </c>
      <c r="F63" s="2" t="str">
        <f>IF(OR(F$14="",$E63=""),"",E63)</f>
        <v/>
      </c>
    </row>
    <row r="64" spans="1:30" x14ac:dyDescent="0.2">
      <c r="A64" t="s">
        <v>177</v>
      </c>
      <c r="C64" t="s">
        <v>137</v>
      </c>
      <c r="D64" t="s">
        <v>24</v>
      </c>
      <c r="E64" s="2">
        <v>4</v>
      </c>
      <c r="F64" s="2">
        <f>IF(OR(F$14="",$E64=""),"",E64)</f>
        <v>4</v>
      </c>
      <c r="G64" s="2">
        <v>4</v>
      </c>
      <c r="H64" s="2">
        <v>4</v>
      </c>
      <c r="I64" s="2">
        <v>4</v>
      </c>
      <c r="J64" s="2">
        <v>4</v>
      </c>
      <c r="K64" s="2">
        <v>3</v>
      </c>
      <c r="L64" s="2">
        <v>0</v>
      </c>
      <c r="M64" s="2">
        <v>0</v>
      </c>
      <c r="N64" s="2">
        <v>0</v>
      </c>
      <c r="O64" s="2">
        <v>0</v>
      </c>
      <c r="AC64" s="2" t="str">
        <f>IF(OR(AC$14="",$E64=""),"",AB64)</f>
        <v/>
      </c>
      <c r="AD64" s="2" t="str">
        <f>IF(OR(AD$14="",$E64=""),"",AC64)</f>
        <v/>
      </c>
    </row>
    <row r="65" spans="1:30" x14ac:dyDescent="0.2">
      <c r="A65" t="s">
        <v>178</v>
      </c>
      <c r="C65" t="s">
        <v>137</v>
      </c>
      <c r="D65" t="s">
        <v>24</v>
      </c>
      <c r="E65" s="2">
        <v>2</v>
      </c>
      <c r="F65" s="2">
        <v>2</v>
      </c>
      <c r="G65" s="2">
        <v>2</v>
      </c>
      <c r="H65" s="2">
        <v>2</v>
      </c>
      <c r="I65" s="2">
        <v>2</v>
      </c>
      <c r="J65" s="2">
        <v>2</v>
      </c>
      <c r="K65" s="2">
        <v>2</v>
      </c>
      <c r="L65" s="2">
        <v>2</v>
      </c>
      <c r="M65" s="2">
        <v>0</v>
      </c>
      <c r="N65" s="2">
        <v>0</v>
      </c>
      <c r="O65" s="2">
        <v>0</v>
      </c>
      <c r="AC65" s="2" t="str">
        <f>IF(OR(AC$14="",$E65=""),"",AB65)</f>
        <v/>
      </c>
      <c r="AD65" s="2" t="str">
        <f>IF(OR(AD$14="",$E65=""),"",AC65)</f>
        <v/>
      </c>
    </row>
    <row r="66" spans="1:30" x14ac:dyDescent="0.2">
      <c r="AC66" s="2" t="str">
        <f>IF(OR(AC$14="",$E66=""),"",AB66)</f>
        <v/>
      </c>
      <c r="AD66" s="2" t="str">
        <f>IF(OR(AD$14="",$E66=""),"",AC66)</f>
        <v/>
      </c>
    </row>
    <row r="67" spans="1:30" x14ac:dyDescent="0.2">
      <c r="A67" t="s">
        <v>181</v>
      </c>
      <c r="AC67" s="2" t="str">
        <f>IF(OR(AC$14="",$E67=""),"",AB67)</f>
        <v/>
      </c>
      <c r="AD67" s="2" t="str">
        <f>IF(OR(AD$14="",$E67=""),"",AC67)</f>
        <v/>
      </c>
    </row>
    <row r="68" spans="1:30" x14ac:dyDescent="0.2">
      <c r="A68" t="s">
        <v>186</v>
      </c>
      <c r="C68" t="s">
        <v>125</v>
      </c>
      <c r="D68" t="s">
        <v>24</v>
      </c>
      <c r="E68" s="2">
        <v>6</v>
      </c>
      <c r="F68" s="2">
        <v>6</v>
      </c>
      <c r="G68" s="2">
        <v>6</v>
      </c>
      <c r="H68" s="2">
        <v>6</v>
      </c>
      <c r="I68" s="2">
        <v>6</v>
      </c>
      <c r="J68" s="2">
        <v>6</v>
      </c>
      <c r="K68" s="2">
        <v>6</v>
      </c>
      <c r="L68" s="2">
        <v>6</v>
      </c>
      <c r="M68" s="2">
        <v>6</v>
      </c>
      <c r="N68" s="2">
        <v>2</v>
      </c>
      <c r="O68" s="2">
        <v>0</v>
      </c>
    </row>
    <row r="69" spans="1:30" x14ac:dyDescent="0.2">
      <c r="A69" t="s">
        <v>184</v>
      </c>
      <c r="C69" t="s">
        <v>125</v>
      </c>
      <c r="D69" t="s">
        <v>31</v>
      </c>
      <c r="E69" s="2">
        <v>2</v>
      </c>
      <c r="F69" s="2">
        <v>2</v>
      </c>
      <c r="G69" s="2">
        <v>2</v>
      </c>
      <c r="H69" s="2">
        <v>2</v>
      </c>
      <c r="I69" s="2">
        <v>2</v>
      </c>
      <c r="J69" s="2">
        <v>2</v>
      </c>
      <c r="K69" s="2">
        <v>2</v>
      </c>
      <c r="L69" s="2">
        <v>1</v>
      </c>
      <c r="M69" s="2">
        <v>1</v>
      </c>
      <c r="N69" s="2">
        <v>1</v>
      </c>
      <c r="O69" s="2">
        <v>1</v>
      </c>
    </row>
    <row r="70" spans="1:30" x14ac:dyDescent="0.2">
      <c r="A70" t="s">
        <v>185</v>
      </c>
      <c r="C70" t="s">
        <v>125</v>
      </c>
      <c r="D70" t="s">
        <v>31</v>
      </c>
      <c r="E70" s="2">
        <v>4</v>
      </c>
      <c r="F70" s="2">
        <v>4</v>
      </c>
      <c r="G70" s="2">
        <v>4</v>
      </c>
      <c r="H70" s="2">
        <v>4</v>
      </c>
      <c r="I70" s="2">
        <v>4</v>
      </c>
      <c r="J70" s="2">
        <v>4</v>
      </c>
      <c r="K70" s="2">
        <v>4</v>
      </c>
      <c r="L70" s="2">
        <v>4</v>
      </c>
      <c r="M70" s="2">
        <v>4</v>
      </c>
      <c r="N70" s="2">
        <v>4</v>
      </c>
      <c r="O70" s="2">
        <v>4</v>
      </c>
    </row>
    <row r="72" spans="1:30" x14ac:dyDescent="0.2">
      <c r="A72" t="s">
        <v>188</v>
      </c>
    </row>
    <row r="73" spans="1:30" x14ac:dyDescent="0.2">
      <c r="A73" t="s">
        <v>189</v>
      </c>
      <c r="C73" t="s">
        <v>137</v>
      </c>
      <c r="D73" t="s">
        <v>24</v>
      </c>
      <c r="E73" s="2">
        <v>4</v>
      </c>
      <c r="F73" s="2">
        <v>4</v>
      </c>
      <c r="G73" s="2">
        <v>4</v>
      </c>
      <c r="H73" s="2">
        <v>4</v>
      </c>
      <c r="I73" s="2">
        <v>4</v>
      </c>
      <c r="J73" s="2">
        <v>4</v>
      </c>
      <c r="K73" s="2">
        <v>4</v>
      </c>
      <c r="L73" s="2">
        <v>4</v>
      </c>
      <c r="M73" s="2">
        <v>4</v>
      </c>
      <c r="N73" s="2">
        <v>2</v>
      </c>
      <c r="O73" s="2">
        <v>0</v>
      </c>
    </row>
    <row r="74" spans="1:30" x14ac:dyDescent="0.2">
      <c r="A74" t="s">
        <v>190</v>
      </c>
      <c r="C74" t="s">
        <v>137</v>
      </c>
      <c r="D74" t="s">
        <v>24</v>
      </c>
      <c r="E74" s="2">
        <v>3</v>
      </c>
      <c r="F74" s="2">
        <v>3</v>
      </c>
      <c r="G74" s="2">
        <v>3</v>
      </c>
      <c r="H74" s="2">
        <v>3</v>
      </c>
      <c r="I74" s="2">
        <v>3</v>
      </c>
      <c r="J74" s="2">
        <v>3</v>
      </c>
      <c r="K74" s="2">
        <v>3</v>
      </c>
      <c r="L74" s="2">
        <v>3</v>
      </c>
      <c r="M74" s="2">
        <v>3</v>
      </c>
      <c r="N74" s="2">
        <v>1</v>
      </c>
      <c r="O74" s="2">
        <v>0</v>
      </c>
    </row>
    <row r="75" spans="1:30" x14ac:dyDescent="0.2">
      <c r="A75" t="s">
        <v>191</v>
      </c>
      <c r="C75" t="s">
        <v>137</v>
      </c>
      <c r="D75" t="s">
        <v>24</v>
      </c>
      <c r="E75" s="2">
        <v>3</v>
      </c>
      <c r="F75" s="2">
        <v>3</v>
      </c>
      <c r="G75" s="2">
        <v>3</v>
      </c>
      <c r="H75" s="2">
        <v>3</v>
      </c>
      <c r="I75" s="2">
        <v>3</v>
      </c>
      <c r="J75" s="2">
        <v>3</v>
      </c>
      <c r="K75" s="2">
        <v>3</v>
      </c>
      <c r="L75" s="2">
        <v>3</v>
      </c>
      <c r="M75" s="2">
        <v>3</v>
      </c>
      <c r="N75" s="2">
        <v>3</v>
      </c>
      <c r="O75" s="2">
        <v>0</v>
      </c>
    </row>
    <row r="76" spans="1:30" x14ac:dyDescent="0.2">
      <c r="A76" t="s">
        <v>194</v>
      </c>
      <c r="C76" t="s">
        <v>125</v>
      </c>
      <c r="D76" t="s">
        <v>24</v>
      </c>
      <c r="E76" s="2">
        <v>1</v>
      </c>
      <c r="F76" s="2">
        <v>1</v>
      </c>
      <c r="G76" s="2">
        <v>1</v>
      </c>
      <c r="H76" s="2">
        <v>1</v>
      </c>
      <c r="I76" s="2">
        <v>1</v>
      </c>
      <c r="J76" s="2">
        <v>0</v>
      </c>
      <c r="K76" s="2">
        <v>0</v>
      </c>
      <c r="L76" s="2">
        <v>0</v>
      </c>
      <c r="M76" s="2">
        <v>0</v>
      </c>
      <c r="N76" s="2">
        <v>0</v>
      </c>
      <c r="O76" s="2">
        <v>0</v>
      </c>
    </row>
    <row r="77" spans="1:30" x14ac:dyDescent="0.2">
      <c r="A77" t="s">
        <v>195</v>
      </c>
      <c r="C77" t="s">
        <v>153</v>
      </c>
      <c r="D77" t="s">
        <v>31</v>
      </c>
      <c r="E77" s="2">
        <v>2</v>
      </c>
      <c r="F77" s="2">
        <v>2</v>
      </c>
      <c r="G77" s="2">
        <v>2</v>
      </c>
      <c r="H77" s="2">
        <v>2</v>
      </c>
      <c r="I77" s="2">
        <v>2</v>
      </c>
      <c r="J77" s="2">
        <v>2</v>
      </c>
      <c r="K77" s="2">
        <v>2</v>
      </c>
      <c r="L77" s="2">
        <v>2</v>
      </c>
      <c r="M77" s="2">
        <v>2</v>
      </c>
      <c r="N77" s="2">
        <v>2</v>
      </c>
      <c r="O77" s="2">
        <v>2</v>
      </c>
    </row>
    <row r="78" spans="1:30" x14ac:dyDescent="0.2">
      <c r="AC78" s="2" t="str">
        <f>IF(OR(AC$14="",$E78=""),"",AB78)</f>
        <v/>
      </c>
      <c r="AD78" s="2" t="str">
        <f>IF(OR(AD$14="",$E78=""),"",AC78)</f>
        <v/>
      </c>
    </row>
    <row r="79" spans="1:30" x14ac:dyDescent="0.2">
      <c r="A79" t="s">
        <v>192</v>
      </c>
    </row>
    <row r="80" spans="1:30" x14ac:dyDescent="0.2">
      <c r="A80" t="s">
        <v>193</v>
      </c>
      <c r="C80" t="s">
        <v>137</v>
      </c>
      <c r="D80" t="s">
        <v>147</v>
      </c>
      <c r="E80" s="2">
        <v>6</v>
      </c>
      <c r="F80" s="2">
        <v>6</v>
      </c>
      <c r="G80" s="2">
        <v>6</v>
      </c>
      <c r="H80" s="2">
        <v>6</v>
      </c>
      <c r="I80" s="2">
        <v>6</v>
      </c>
      <c r="J80" s="2">
        <v>3</v>
      </c>
      <c r="K80" s="2">
        <v>0</v>
      </c>
      <c r="L80" s="2">
        <v>0</v>
      </c>
      <c r="M80" s="2">
        <v>0</v>
      </c>
      <c r="N80" s="2">
        <v>0</v>
      </c>
      <c r="O80" s="2">
        <v>0</v>
      </c>
    </row>
    <row r="81" spans="1:30" x14ac:dyDescent="0.2">
      <c r="A81" t="s">
        <v>196</v>
      </c>
      <c r="C81" t="s">
        <v>137</v>
      </c>
      <c r="D81" t="s">
        <v>147</v>
      </c>
      <c r="E81" s="2">
        <v>2</v>
      </c>
      <c r="F81" s="2">
        <v>2</v>
      </c>
      <c r="G81" s="2">
        <v>2</v>
      </c>
      <c r="H81" s="2">
        <v>2</v>
      </c>
      <c r="I81" s="2">
        <v>2</v>
      </c>
      <c r="J81" s="2">
        <v>2</v>
      </c>
      <c r="K81" s="2">
        <v>2</v>
      </c>
      <c r="L81" s="2">
        <v>2</v>
      </c>
      <c r="M81" s="2">
        <v>2</v>
      </c>
      <c r="N81" s="2">
        <v>2</v>
      </c>
      <c r="O81" s="2">
        <v>0</v>
      </c>
    </row>
    <row r="83" spans="1:30" x14ac:dyDescent="0.2">
      <c r="A83" t="s">
        <v>182</v>
      </c>
      <c r="D83" s="35"/>
      <c r="E83" s="34"/>
      <c r="AC83" s="2" t="str">
        <f>IF(OR(AC$14="",$E83=""),"",AB83)</f>
        <v/>
      </c>
      <c r="AD83" s="2" t="str">
        <f>IF(OR(AD$14="",$E83=""),"",AC83)</f>
        <v/>
      </c>
    </row>
    <row r="84" spans="1:30" x14ac:dyDescent="0.2">
      <c r="A84" s="35" t="s">
        <v>183</v>
      </c>
      <c r="B84" s="34"/>
      <c r="D84" s="35"/>
      <c r="E84" s="34"/>
      <c r="AC84" s="2" t="str">
        <f>IF(OR(AC$14="",$E84=""),"",AB84)</f>
        <v/>
      </c>
      <c r="AD84" s="2" t="str">
        <f>IF(OR(AD$14="",$E84=""),"",AC84)</f>
        <v/>
      </c>
    </row>
    <row r="85" spans="1:30" x14ac:dyDescent="0.2">
      <c r="A85" s="35"/>
      <c r="B85" s="34"/>
      <c r="D85" s="35"/>
      <c r="E85" s="34"/>
      <c r="AC85" s="2" t="str">
        <f>IF(OR(AC$14="",$E85=""),"",AB85)</f>
        <v/>
      </c>
      <c r="AD85" s="2" t="str">
        <f>IF(OR(AD$14="",$E85=""),"",AC85)</f>
        <v/>
      </c>
    </row>
    <row r="86" spans="1:30" x14ac:dyDescent="0.2">
      <c r="A86" s="35"/>
      <c r="B86" s="34"/>
      <c r="D86" s="35"/>
      <c r="E86" s="34"/>
      <c r="AC86" s="2" t="str">
        <f>IF(OR(AC$14="",$E86=""),"",AB86)</f>
        <v/>
      </c>
      <c r="AD86" s="2" t="str">
        <f>IF(OR(AD$14="",$E86=""),"",AC86)</f>
        <v/>
      </c>
    </row>
    <row r="87" spans="1:30" x14ac:dyDescent="0.2">
      <c r="A87" s="35"/>
      <c r="B87" s="34"/>
      <c r="D87" s="35"/>
      <c r="E87" s="34"/>
      <c r="AC87" s="2" t="str">
        <f>IF(OR(AC$14="",$E87=""),"",AB87)</f>
        <v/>
      </c>
      <c r="AD87" s="2" t="str">
        <f>IF(OR(AD$14="",$E87=""),"",AC87)</f>
        <v/>
      </c>
    </row>
    <row r="88" spans="1:30" x14ac:dyDescent="0.2">
      <c r="AC88" s="2" t="str">
        <f>IF(OR(AC$14="",$E88=""),"",AB88)</f>
        <v/>
      </c>
      <c r="AD88" s="2" t="str">
        <f>IF(OR(AD$14="",$E88=""),"",AC88)</f>
        <v/>
      </c>
    </row>
    <row r="89" spans="1:30" x14ac:dyDescent="0.2">
      <c r="AC89" s="2" t="str">
        <f>IF(OR(AC$14="",$E89=""),"",AB89)</f>
        <v/>
      </c>
      <c r="AD89" s="2" t="str">
        <f>IF(OR(AD$14="",$E89=""),"",AC89)</f>
        <v/>
      </c>
    </row>
    <row r="90" spans="1:30" x14ac:dyDescent="0.2">
      <c r="AC90" s="2" t="str">
        <f>IF(OR(AC$14="",$E90=""),"",AB90)</f>
        <v/>
      </c>
      <c r="AD90" s="2" t="str">
        <f>IF(OR(AD$14="",$E90=""),"",AC90)</f>
        <v/>
      </c>
    </row>
    <row r="91" spans="1:30" x14ac:dyDescent="0.2">
      <c r="AC91" s="2" t="str">
        <f>IF(OR(AC$14="",$E91=""),"",AB91)</f>
        <v/>
      </c>
      <c r="AD91" s="2" t="str">
        <f>IF(OR(AD$14="",$E91=""),"",AC91)</f>
        <v/>
      </c>
    </row>
    <row r="92" spans="1:30" x14ac:dyDescent="0.2">
      <c r="AC92" s="2" t="str">
        <f>IF(OR(AC$14="",$E92=""),"",AB92)</f>
        <v/>
      </c>
      <c r="AD92" s="2" t="str">
        <f>IF(OR(AD$14="",$E92=""),"",AC92)</f>
        <v/>
      </c>
    </row>
    <row r="93" spans="1:30" x14ac:dyDescent="0.2">
      <c r="AC93" s="2" t="str">
        <f>IF(OR(AC$14="",$E93=""),"",AB93)</f>
        <v/>
      </c>
      <c r="AD93" s="2" t="str">
        <f>IF(OR(AD$14="",$E93=""),"",AC93)</f>
        <v/>
      </c>
    </row>
    <row r="94" spans="1:30" x14ac:dyDescent="0.2">
      <c r="AC94" s="2" t="str">
        <f>IF(OR(AC$14="",$E94=""),"",AB94)</f>
        <v/>
      </c>
      <c r="AD94" s="2" t="str">
        <f>IF(OR(AD$14="",$E94=""),"",AC94)</f>
        <v/>
      </c>
    </row>
    <row r="95" spans="1:30" x14ac:dyDescent="0.2">
      <c r="AC95" s="2" t="str">
        <f>IF(OR(AC$14="",$E95=""),"",AB95)</f>
        <v/>
      </c>
      <c r="AD95" s="2" t="str">
        <f>IF(OR(AD$14="",$E95=""),"",AC95)</f>
        <v/>
      </c>
    </row>
    <row r="96" spans="1:30" x14ac:dyDescent="0.2">
      <c r="AC96" s="2" t="str">
        <f>IF(OR(AC$14="",$E96=""),"",AB96)</f>
        <v/>
      </c>
      <c r="AD96" s="2" t="str">
        <f>IF(OR(AD$14="",$E96=""),"",AC96)</f>
        <v/>
      </c>
    </row>
    <row r="97" spans="4:30" x14ac:dyDescent="0.2">
      <c r="AC97" s="2" t="str">
        <f>IF(OR(AC$14="",$E97=""),"",AB97)</f>
        <v/>
      </c>
      <c r="AD97" s="2" t="str">
        <f>IF(OR(AD$14="",$E97=""),"",AC97)</f>
        <v/>
      </c>
    </row>
    <row r="98" spans="4:30" x14ac:dyDescent="0.2">
      <c r="AC98" s="2" t="str">
        <f>IF(OR(AC$14="",$E98=""),"",AB98)</f>
        <v/>
      </c>
      <c r="AD98" s="2" t="str">
        <f>IF(OR(AD$14="",$E98=""),"",AC98)</f>
        <v/>
      </c>
    </row>
    <row r="99" spans="4:30" x14ac:dyDescent="0.2">
      <c r="AC99" s="2" t="str">
        <f>IF(OR(AC$14="",$E99=""),"",AB99)</f>
        <v/>
      </c>
      <c r="AD99" s="2" t="str">
        <f>IF(OR(AD$14="",$E99=""),"",AC99)</f>
        <v/>
      </c>
    </row>
    <row r="100" spans="4:30" x14ac:dyDescent="0.2">
      <c r="AC100" s="2" t="str">
        <f>IF(OR(AC$14="",$E100=""),"",AB100)</f>
        <v/>
      </c>
      <c r="AD100" s="2" t="str">
        <f>IF(OR(AD$14="",$E100=""),"",AC100)</f>
        <v/>
      </c>
    </row>
    <row r="105" spans="4:30" x14ac:dyDescent="0.2">
      <c r="D105" t="str">
        <f>IF(A105&lt;&gt;"","Planned","")</f>
        <v/>
      </c>
    </row>
  </sheetData>
  <conditionalFormatting sqref="B36:C38 A37:A38 A28:C35 D28:AD38 A39:AD99 A25:AD27 A15:AD21">
    <cfRule type="expression" dxfId="17" priority="9" stopIfTrue="1">
      <formula>$D15="Done"</formula>
    </cfRule>
    <cfRule type="expression" dxfId="16" priority="10" stopIfTrue="1">
      <formula>$D15="Ongoing"</formula>
    </cfRule>
  </conditionalFormatting>
  <conditionalFormatting sqref="A36">
    <cfRule type="expression" dxfId="15" priority="122" stopIfTrue="1">
      <formula>$D37="Done"</formula>
    </cfRule>
    <cfRule type="expression" dxfId="14" priority="123" stopIfTrue="1">
      <formula>$D37="Ongoing"</formula>
    </cfRule>
  </conditionalFormatting>
  <dataValidations count="1">
    <dataValidation type="list" allowBlank="1" showInputMessage="1" sqref="D3:D8 D15:D21 D25:D10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55"/>
  <sheetViews>
    <sheetView tabSelected="1" zoomScale="110" zoomScaleNormal="110" workbookViewId="0">
      <pane ySplit="14" topLeftCell="A15" activePane="bottomLeft" state="frozen"/>
      <selection pane="bottomLeft" activeCell="X41" sqref="X41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10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64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IF(COUNTA(A15:A212)=0,1,COUNTA(A15:A212))</f>
        <v>30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64</v>
      </c>
      <c r="G11" s="2">
        <f t="shared" ref="G11:AD11" ca="1" si="1">IF(G14="","",TotalEffort-TotalEffort/(ImplementationDays)*(G14-1))</f>
        <v>57.6</v>
      </c>
      <c r="H11" s="2">
        <f t="shared" ca="1" si="1"/>
        <v>51.2</v>
      </c>
      <c r="I11" s="2">
        <f t="shared" ca="1" si="1"/>
        <v>44.8</v>
      </c>
      <c r="J11" s="2">
        <f t="shared" ca="1" si="1"/>
        <v>38.4</v>
      </c>
      <c r="K11" s="2">
        <f t="shared" ca="1" si="1"/>
        <v>32</v>
      </c>
      <c r="L11" s="2">
        <f t="shared" ca="1" si="1"/>
        <v>25.599999999999994</v>
      </c>
      <c r="M11" s="2">
        <f t="shared" ca="1" si="1"/>
        <v>19.199999999999996</v>
      </c>
      <c r="N11" s="2">
        <f t="shared" ca="1" si="1"/>
        <v>12.799999999999997</v>
      </c>
      <c r="O11" s="2">
        <f t="shared" ca="1" si="1"/>
        <v>6.3999999999999986</v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>
        <f t="shared" si="3"/>
        <v>7</v>
      </c>
      <c r="M14" s="19">
        <f t="shared" si="3"/>
        <v>8</v>
      </c>
      <c r="N14" s="19">
        <f t="shared" si="3"/>
        <v>9</v>
      </c>
      <c r="O14" s="19">
        <f t="shared" si="3"/>
        <v>10</v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131</v>
      </c>
      <c r="B15" s="34">
        <v>5</v>
      </c>
      <c r="C15" t="s">
        <v>123</v>
      </c>
      <c r="D15" s="35" t="s">
        <v>31</v>
      </c>
      <c r="E15" s="34">
        <v>3</v>
      </c>
      <c r="F15" s="34"/>
      <c r="G15" s="34"/>
      <c r="H15" s="34"/>
      <c r="I15" s="34"/>
      <c r="J15" s="34"/>
      <c r="AC15" s="2" t="str">
        <f t="shared" ref="AC15:AD21" si="4">IF(OR(AC$14="",$E15=""),"",AB15)</f>
        <v/>
      </c>
      <c r="AD15" s="2" t="str">
        <f t="shared" si="4"/>
        <v/>
      </c>
    </row>
    <row r="16" spans="1:30" x14ac:dyDescent="0.2">
      <c r="A16" s="35" t="s">
        <v>150</v>
      </c>
      <c r="B16" s="34"/>
      <c r="C16" t="s">
        <v>137</v>
      </c>
      <c r="D16" s="35" t="s">
        <v>39</v>
      </c>
      <c r="E16" s="34">
        <v>2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216</v>
      </c>
      <c r="B17" s="34"/>
      <c r="C17" t="s">
        <v>123</v>
      </c>
      <c r="D17" s="35" t="s">
        <v>31</v>
      </c>
      <c r="E17" s="34">
        <v>4</v>
      </c>
      <c r="F17" s="34"/>
      <c r="G17" s="34"/>
      <c r="H17" s="34"/>
      <c r="I17" s="34"/>
      <c r="J17" s="34"/>
    </row>
    <row r="18" spans="1:30" x14ac:dyDescent="0.2">
      <c r="A18" s="35"/>
      <c r="B18" s="34"/>
      <c r="D18" s="35"/>
      <c r="E18" s="34"/>
      <c r="F18" s="34"/>
      <c r="G18" s="34"/>
      <c r="H18" s="34"/>
      <c r="I18" s="34"/>
      <c r="J18" s="34"/>
    </row>
    <row r="19" spans="1:30" ht="15" x14ac:dyDescent="0.25">
      <c r="A19" s="84" t="s">
        <v>217</v>
      </c>
      <c r="B19" s="83">
        <v>3</v>
      </c>
      <c r="C19" s="89" t="s">
        <v>137</v>
      </c>
      <c r="D19" s="84" t="s">
        <v>24</v>
      </c>
      <c r="E19" s="83">
        <v>5</v>
      </c>
      <c r="F19" s="83">
        <v>0</v>
      </c>
      <c r="G19" s="83"/>
      <c r="H19" s="83"/>
      <c r="I19" s="83"/>
      <c r="J19" s="83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</row>
    <row r="20" spans="1:30" ht="15" x14ac:dyDescent="0.25">
      <c r="A20" s="84" t="s">
        <v>218</v>
      </c>
      <c r="B20" s="83">
        <v>3</v>
      </c>
      <c r="C20" s="89" t="s">
        <v>137</v>
      </c>
      <c r="D20" s="84" t="s">
        <v>24</v>
      </c>
      <c r="E20" s="83">
        <v>5</v>
      </c>
      <c r="F20" s="83">
        <v>0</v>
      </c>
      <c r="G20" s="83"/>
      <c r="H20" s="83"/>
      <c r="I20" s="83"/>
      <c r="J20" s="83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</row>
    <row r="21" spans="1:30" x14ac:dyDescent="0.2">
      <c r="A21" s="35"/>
      <c r="B21" s="34"/>
      <c r="D21" s="35"/>
      <c r="E21" s="34"/>
      <c r="F21" s="34"/>
      <c r="G21" s="34"/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197</v>
      </c>
      <c r="B22" s="34">
        <v>6</v>
      </c>
      <c r="D22" s="35"/>
      <c r="E22" s="34"/>
      <c r="F22" s="34"/>
      <c r="G22" s="34"/>
      <c r="H22" s="34"/>
      <c r="I22" s="34"/>
      <c r="J22" s="34"/>
      <c r="AC22" s="2" t="str">
        <f t="shared" ref="AC22:AD30" si="5">IF(OR(AC$14="",$E22=""),"",AB22)</f>
        <v/>
      </c>
      <c r="AD22" s="2" t="str">
        <f t="shared" si="5"/>
        <v/>
      </c>
    </row>
    <row r="23" spans="1:30" x14ac:dyDescent="0.2">
      <c r="A23" s="35" t="s">
        <v>158</v>
      </c>
      <c r="B23" s="34">
        <v>6</v>
      </c>
      <c r="C23" t="s">
        <v>153</v>
      </c>
      <c r="D23" s="35" t="s">
        <v>31</v>
      </c>
      <c r="E23" s="34">
        <v>5</v>
      </c>
      <c r="F23" s="34"/>
      <c r="G23" s="34"/>
      <c r="H23" s="34"/>
      <c r="I23" s="34"/>
      <c r="J23" s="34"/>
      <c r="AC23" s="2" t="str">
        <f t="shared" si="5"/>
        <v/>
      </c>
      <c r="AD23" s="2" t="str">
        <f t="shared" si="5"/>
        <v/>
      </c>
    </row>
    <row r="24" spans="1:30" x14ac:dyDescent="0.2">
      <c r="A24" s="35" t="s">
        <v>159</v>
      </c>
      <c r="B24" s="34">
        <v>6</v>
      </c>
      <c r="C24" t="s">
        <v>153</v>
      </c>
      <c r="D24" s="35" t="s">
        <v>31</v>
      </c>
      <c r="E24" s="34">
        <v>2</v>
      </c>
      <c r="F24" s="34"/>
      <c r="G24" s="34"/>
      <c r="H24" s="34"/>
      <c r="I24" s="34"/>
      <c r="J24" s="34"/>
      <c r="AC24" s="2" t="str">
        <f t="shared" si="5"/>
        <v/>
      </c>
      <c r="AD24" s="2" t="str">
        <f t="shared" si="5"/>
        <v/>
      </c>
    </row>
    <row r="25" spans="1:30" x14ac:dyDescent="0.2">
      <c r="A25" s="35" t="s">
        <v>202</v>
      </c>
      <c r="B25" s="34">
        <v>6</v>
      </c>
      <c r="C25" t="s">
        <v>125</v>
      </c>
      <c r="D25" s="35" t="s">
        <v>31</v>
      </c>
      <c r="E25" s="34">
        <v>2</v>
      </c>
      <c r="F25" s="34"/>
      <c r="G25" s="34"/>
      <c r="H25" s="34"/>
      <c r="I25" s="34"/>
      <c r="J25" s="34"/>
      <c r="AC25" s="2" t="str">
        <f>IF(OR(AC$14="",$E25=""),"",AB25)</f>
        <v/>
      </c>
      <c r="AD25" s="2" t="str">
        <f>IF(OR(AD$14="",$E25=""),"",AC25)</f>
        <v/>
      </c>
    </row>
    <row r="26" spans="1:30" x14ac:dyDescent="0.2">
      <c r="A26" s="35" t="s">
        <v>203</v>
      </c>
      <c r="B26" s="34">
        <v>6</v>
      </c>
      <c r="C26" t="s">
        <v>153</v>
      </c>
      <c r="D26" s="35" t="s">
        <v>31</v>
      </c>
      <c r="E26" s="34">
        <v>5</v>
      </c>
      <c r="F26" s="34"/>
      <c r="G26" s="34"/>
      <c r="H26" s="34"/>
      <c r="I26" s="34"/>
      <c r="J26" s="34"/>
      <c r="AC26" s="2" t="str">
        <f>IF(OR(AC$14="",$E26=""),"",AB26)</f>
        <v/>
      </c>
      <c r="AD26" s="2" t="str">
        <f>IF(OR(AD$14="",$E26=""),"",AC26)</f>
        <v/>
      </c>
    </row>
    <row r="27" spans="1:30" x14ac:dyDescent="0.2">
      <c r="A27" s="35" t="s">
        <v>204</v>
      </c>
      <c r="B27" s="34">
        <v>6</v>
      </c>
      <c r="C27" t="s">
        <v>153</v>
      </c>
      <c r="D27" s="35" t="s">
        <v>31</v>
      </c>
      <c r="E27" s="34">
        <v>5</v>
      </c>
      <c r="F27" s="34"/>
      <c r="G27" s="34"/>
      <c r="H27" s="34"/>
      <c r="I27" s="34"/>
      <c r="J27" s="34"/>
      <c r="AC27" s="2" t="str">
        <f>IF(OR(AC$14="",$E27=""),"",AB27)</f>
        <v/>
      </c>
      <c r="AD27" s="2" t="str">
        <f>IF(OR(AD$14="",$E27=""),"",AC27)</f>
        <v/>
      </c>
    </row>
    <row r="28" spans="1:30" x14ac:dyDescent="0.2">
      <c r="A28" s="35"/>
      <c r="B28" s="34"/>
      <c r="D28" s="35"/>
      <c r="E28" s="34"/>
      <c r="F28" s="34"/>
      <c r="G28" s="34"/>
      <c r="H28" s="34"/>
      <c r="I28" s="34"/>
      <c r="J28" s="34"/>
      <c r="AC28" s="2" t="str">
        <f t="shared" si="5"/>
        <v/>
      </c>
      <c r="AD28" s="2" t="str">
        <f t="shared" si="5"/>
        <v/>
      </c>
    </row>
    <row r="29" spans="1:30" x14ac:dyDescent="0.2">
      <c r="A29" s="35" t="s">
        <v>164</v>
      </c>
      <c r="C29" t="s">
        <v>137</v>
      </c>
      <c r="D29" t="s">
        <v>31</v>
      </c>
      <c r="E29" s="2">
        <v>1</v>
      </c>
      <c r="AC29" s="2" t="str">
        <f t="shared" si="5"/>
        <v/>
      </c>
      <c r="AD29" s="2" t="str">
        <f t="shared" si="5"/>
        <v/>
      </c>
    </row>
    <row r="30" spans="1:30" x14ac:dyDescent="0.2">
      <c r="A30" s="35"/>
      <c r="AC30" s="2" t="str">
        <f t="shared" si="5"/>
        <v/>
      </c>
      <c r="AD30" s="2" t="str">
        <f t="shared" si="5"/>
        <v/>
      </c>
    </row>
    <row r="31" spans="1:30" x14ac:dyDescent="0.2">
      <c r="A31" t="s">
        <v>181</v>
      </c>
    </row>
    <row r="32" spans="1:30" x14ac:dyDescent="0.2">
      <c r="A32" t="s">
        <v>205</v>
      </c>
      <c r="C32" t="s">
        <v>125</v>
      </c>
      <c r="D32" t="s">
        <v>147</v>
      </c>
      <c r="E32" s="2">
        <v>1</v>
      </c>
      <c r="F32" s="2">
        <v>0</v>
      </c>
    </row>
    <row r="33" spans="1:6" x14ac:dyDescent="0.2">
      <c r="A33" t="s">
        <v>206</v>
      </c>
      <c r="C33" t="s">
        <v>125</v>
      </c>
      <c r="D33" t="s">
        <v>31</v>
      </c>
      <c r="E33" s="2">
        <v>1</v>
      </c>
    </row>
    <row r="34" spans="1:6" x14ac:dyDescent="0.2">
      <c r="A34" t="s">
        <v>207</v>
      </c>
      <c r="C34" t="s">
        <v>125</v>
      </c>
      <c r="D34" t="s">
        <v>31</v>
      </c>
      <c r="E34" s="2">
        <v>1</v>
      </c>
    </row>
    <row r="36" spans="1:6" x14ac:dyDescent="0.2">
      <c r="A36" t="s">
        <v>198</v>
      </c>
    </row>
    <row r="37" spans="1:6" x14ac:dyDescent="0.2">
      <c r="A37" t="s">
        <v>199</v>
      </c>
      <c r="B37" s="2">
        <v>9</v>
      </c>
      <c r="C37" t="s">
        <v>125</v>
      </c>
      <c r="D37" t="s">
        <v>31</v>
      </c>
      <c r="E37" s="2">
        <v>2</v>
      </c>
    </row>
    <row r="38" spans="1:6" x14ac:dyDescent="0.2">
      <c r="A38" t="s">
        <v>200</v>
      </c>
      <c r="B38" s="2">
        <v>9</v>
      </c>
      <c r="C38" t="s">
        <v>125</v>
      </c>
      <c r="D38" t="s">
        <v>31</v>
      </c>
      <c r="E38" s="2">
        <v>5</v>
      </c>
    </row>
    <row r="39" spans="1:6" x14ac:dyDescent="0.2">
      <c r="A39" t="s">
        <v>201</v>
      </c>
      <c r="B39" s="2">
        <v>9</v>
      </c>
      <c r="C39" t="s">
        <v>125</v>
      </c>
      <c r="D39" t="s">
        <v>31</v>
      </c>
      <c r="E39" s="2">
        <v>5</v>
      </c>
    </row>
    <row r="41" spans="1:6" x14ac:dyDescent="0.2">
      <c r="A41" t="s">
        <v>208</v>
      </c>
    </row>
    <row r="42" spans="1:6" x14ac:dyDescent="0.2">
      <c r="A42" t="s">
        <v>209</v>
      </c>
      <c r="B42" s="2">
        <v>7</v>
      </c>
      <c r="C42" t="s">
        <v>137</v>
      </c>
      <c r="D42" t="s">
        <v>31</v>
      </c>
      <c r="E42" s="2">
        <v>2</v>
      </c>
      <c r="F42" s="2">
        <v>0</v>
      </c>
    </row>
    <row r="43" spans="1:6" x14ac:dyDescent="0.2">
      <c r="A43" t="s">
        <v>210</v>
      </c>
      <c r="B43" s="2">
        <v>10</v>
      </c>
      <c r="C43" t="s">
        <v>137</v>
      </c>
      <c r="D43" t="s">
        <v>31</v>
      </c>
      <c r="E43" s="2">
        <v>4</v>
      </c>
    </row>
    <row r="44" spans="1:6" x14ac:dyDescent="0.2">
      <c r="A44" t="s">
        <v>211</v>
      </c>
      <c r="B44" s="2">
        <v>7</v>
      </c>
      <c r="C44" t="s">
        <v>137</v>
      </c>
      <c r="D44" t="s">
        <v>31</v>
      </c>
      <c r="E44" s="2">
        <v>4</v>
      </c>
    </row>
    <row r="45" spans="1:6" x14ac:dyDescent="0.2">
      <c r="A45" t="s">
        <v>212</v>
      </c>
      <c r="B45" s="2">
        <v>7</v>
      </c>
      <c r="D45" t="s">
        <v>39</v>
      </c>
      <c r="E45" s="2">
        <v>4</v>
      </c>
    </row>
    <row r="47" spans="1:6" x14ac:dyDescent="0.2">
      <c r="A47" t="s">
        <v>213</v>
      </c>
    </row>
    <row r="49" spans="1:6" x14ac:dyDescent="0.2">
      <c r="A49" t="s">
        <v>214</v>
      </c>
      <c r="C49" t="s">
        <v>125</v>
      </c>
      <c r="D49" t="s">
        <v>147</v>
      </c>
      <c r="E49" s="2">
        <v>2</v>
      </c>
      <c r="F49" s="2">
        <v>0</v>
      </c>
    </row>
    <row r="51" spans="1:6" x14ac:dyDescent="0.2">
      <c r="A51" t="s">
        <v>215</v>
      </c>
      <c r="C51" t="s">
        <v>137</v>
      </c>
      <c r="D51" t="s">
        <v>31</v>
      </c>
      <c r="E51" s="2">
        <v>4</v>
      </c>
    </row>
    <row r="53" spans="1:6" x14ac:dyDescent="0.2">
      <c r="A53" t="s">
        <v>182</v>
      </c>
      <c r="D53" s="35"/>
      <c r="E53" s="34"/>
    </row>
    <row r="54" spans="1:6" x14ac:dyDescent="0.2">
      <c r="A54" s="35" t="s">
        <v>183</v>
      </c>
      <c r="B54" s="34"/>
      <c r="D54" s="35"/>
      <c r="E54" s="34"/>
    </row>
    <row r="55" spans="1:6" x14ac:dyDescent="0.2">
      <c r="A55" s="35"/>
      <c r="B55" s="34"/>
      <c r="D55" s="35"/>
      <c r="E55" s="34"/>
    </row>
  </sheetData>
  <conditionalFormatting sqref="A21:C22 A25:C25 D21:O28 P21:AD30 A29:O55 A15:AD17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B23:C24 A24 A26:C28">
    <cfRule type="expression" dxfId="11" priority="3" stopIfTrue="1">
      <formula>$D23="Done"</formula>
    </cfRule>
    <cfRule type="expression" dxfId="10" priority="4" stopIfTrue="1">
      <formula>$D23="Ongoing"</formula>
    </cfRule>
  </conditionalFormatting>
  <conditionalFormatting sqref="A23">
    <cfRule type="expression" dxfId="9" priority="5" stopIfTrue="1">
      <formula>$D24="Done"</formula>
    </cfRule>
    <cfRule type="expression" dxfId="8" priority="6" stopIfTrue="1">
      <formula>$D24="Ongoing"</formula>
    </cfRule>
  </conditionalFormatting>
  <dataValidations count="1">
    <dataValidation type="list" allowBlank="1" showInputMessage="1" sqref="D3:D8 D15:D55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1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2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A19:AD20</xm:sqref>
        </x14:conditionalFormatting>
        <x14:conditionalFormatting xmlns:xm="http://schemas.microsoft.com/office/excel/2006/main">
          <x14:cfRule type="expression" priority="135" stopIfTrue="1" id="{125A49D0-0DE5-46E3-A187-F5EE5FDD7CF3}">
            <xm:f>'Sp2'!$D22="Done"</xm:f>
            <x14:dxf>
              <fill>
                <patternFill>
                  <bgColor indexed="42"/>
                </patternFill>
              </fill>
            </x14:dxf>
          </x14:cfRule>
          <x14:cfRule type="expression" priority="136" stopIfTrue="1" id="{FD75FEEC-6210-4C25-84A3-95FC10E23180}">
            <xm:f>'Sp2'!$D22="Ongoing"</xm:f>
            <x14:dxf>
              <fill>
                <patternFill>
                  <bgColor indexed="43"/>
                </patternFill>
              </fill>
            </x14:dxf>
          </x14:cfRule>
          <xm:sqref>A18:AD18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5" priority="1" stopIfTrue="1">
      <formula>$D15="Done"</formula>
    </cfRule>
    <cfRule type="expression" dxfId="4" priority="2" stopIfTrue="1">
      <formula>$D15="Ongoing"</formula>
    </cfRule>
  </conditionalFormatting>
  <conditionalFormatting sqref="A15:I18">
    <cfRule type="expression" dxfId="3" priority="3" stopIfTrue="1">
      <formula>$D15="Done"</formula>
    </cfRule>
    <cfRule type="expression" dxfId="2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2020-03-03T14:22:19Z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