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1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'Sp2'!$A$14:$AD$85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'Sp2'!$D$14:$D$80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'Sp2'!$B$14:$B$75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86" i="22"/>
  <c r="F57" i="22"/>
  <c r="D57" i="22"/>
  <c r="F56" i="22"/>
  <c r="G56" i="22" s="1"/>
  <c r="F55" i="22"/>
  <c r="F54" i="22"/>
  <c r="F53" i="22"/>
  <c r="D53" i="22"/>
  <c r="F42" i="22"/>
  <c r="F59" i="22"/>
  <c r="F58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I11" i="23" l="1"/>
  <c r="F10" i="19"/>
  <c r="G10" i="19"/>
  <c r="E10" i="22"/>
  <c r="F11" i="22" s="1"/>
  <c r="F10" i="22"/>
  <c r="I14" i="22"/>
  <c r="H57" i="22"/>
  <c r="H56" i="22"/>
  <c r="G57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I56" i="22" l="1"/>
  <c r="M37" i="20"/>
  <c r="G11" i="22"/>
  <c r="I11" i="22"/>
  <c r="H11" i="22"/>
  <c r="J14" i="22"/>
  <c r="I57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56" i="22" l="1"/>
  <c r="J57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57" i="22"/>
  <c r="K56" i="22"/>
  <c r="K10" i="22" s="1"/>
  <c r="L10" i="19"/>
  <c r="M11" i="19"/>
  <c r="N14" i="19"/>
  <c r="M37" i="19"/>
  <c r="M36" i="19"/>
  <c r="M10" i="19" s="1"/>
  <c r="K59" i="24"/>
  <c r="L14" i="24"/>
  <c r="K11" i="24"/>
  <c r="K58" i="24"/>
  <c r="L10" i="22" l="1"/>
  <c r="L11" i="22"/>
  <c r="L57" i="22"/>
  <c r="M14" i="22"/>
  <c r="N37" i="19"/>
  <c r="O14" i="19"/>
  <c r="N36" i="19"/>
  <c r="N11" i="19"/>
  <c r="M14" i="24"/>
  <c r="L11" i="24"/>
  <c r="L58" i="24"/>
  <c r="L59" i="24"/>
  <c r="M56" i="22" l="1"/>
  <c r="M10" i="22" s="1"/>
  <c r="M57" i="22"/>
  <c r="M11" i="22"/>
  <c r="N14" i="22"/>
  <c r="N10" i="19"/>
  <c r="P14" i="19"/>
  <c r="O37" i="19"/>
  <c r="O36" i="19"/>
  <c r="O11" i="19"/>
  <c r="M58" i="24"/>
  <c r="M59" i="24"/>
  <c r="M11" i="24"/>
  <c r="N14" i="24"/>
  <c r="O10" i="19" l="1"/>
  <c r="N56" i="22"/>
  <c r="N10" i="22" s="1"/>
  <c r="N57" i="22"/>
  <c r="O14" i="22"/>
  <c r="N11" i="22"/>
  <c r="P36" i="19"/>
  <c r="P37" i="19"/>
  <c r="P11" i="19"/>
  <c r="Q14" i="19"/>
  <c r="N59" i="24"/>
  <c r="O14" i="24"/>
  <c r="N11" i="24"/>
  <c r="N58" i="24"/>
  <c r="P14" i="22" l="1"/>
  <c r="O56" i="22"/>
  <c r="O10" i="22" s="1"/>
  <c r="O11" i="22"/>
  <c r="O57" i="22"/>
  <c r="Q11" i="19"/>
  <c r="Q37" i="19"/>
  <c r="Q36" i="19"/>
  <c r="R14" i="19"/>
  <c r="P10" i="19"/>
  <c r="O59" i="24"/>
  <c r="P14" i="24"/>
  <c r="O11" i="24"/>
  <c r="O58" i="24"/>
  <c r="P57" i="22" l="1"/>
  <c r="Q14" i="22"/>
  <c r="P11" i="22"/>
  <c r="P56" i="22"/>
  <c r="P10" i="22" s="1"/>
  <c r="Q10" i="19"/>
  <c r="S14" i="19"/>
  <c r="R37" i="19"/>
  <c r="R11" i="19"/>
  <c r="R36" i="19"/>
  <c r="Q14" i="24"/>
  <c r="P11" i="24"/>
  <c r="P58" i="24"/>
  <c r="P59" i="24"/>
  <c r="R14" i="22" l="1"/>
  <c r="Q56" i="22"/>
  <c r="Q10" i="22" s="1"/>
  <c r="Q57" i="22"/>
  <c r="Q11" i="22"/>
  <c r="R10" i="19"/>
  <c r="S36" i="19"/>
  <c r="S11" i="19"/>
  <c r="S37" i="19"/>
  <c r="T14" i="19"/>
  <c r="Q58" i="24"/>
  <c r="Q59" i="24"/>
  <c r="R14" i="24"/>
  <c r="Q11" i="24"/>
  <c r="R11" i="22" l="1"/>
  <c r="S14" i="22"/>
  <c r="R57" i="22"/>
  <c r="R56" i="22"/>
  <c r="R10" i="22" s="1"/>
  <c r="T37" i="19"/>
  <c r="T11" i="19"/>
  <c r="T36" i="19"/>
  <c r="U14" i="19"/>
  <c r="S10" i="19"/>
  <c r="R59" i="24"/>
  <c r="S14" i="24"/>
  <c r="R11" i="24"/>
  <c r="R58" i="24"/>
  <c r="S57" i="22" l="1"/>
  <c r="T14" i="22"/>
  <c r="S56" i="22"/>
  <c r="S10" i="22" s="1"/>
  <c r="S11" i="22"/>
  <c r="U11" i="19"/>
  <c r="U36" i="19"/>
  <c r="U37" i="19"/>
  <c r="V14" i="19"/>
  <c r="T10" i="19"/>
  <c r="S59" i="24"/>
  <c r="T14" i="24"/>
  <c r="S11" i="24"/>
  <c r="S58" i="24"/>
  <c r="U10" i="19" l="1"/>
  <c r="T56" i="22"/>
  <c r="T10" i="22" s="1"/>
  <c r="T11" i="22"/>
  <c r="U14" i="22"/>
  <c r="T57" i="22"/>
  <c r="V36" i="19"/>
  <c r="V11" i="19"/>
  <c r="V37" i="19"/>
  <c r="V10" i="19" s="1"/>
  <c r="W14" i="19"/>
  <c r="U14" i="24"/>
  <c r="T11" i="24"/>
  <c r="T58" i="24"/>
  <c r="T59" i="24"/>
  <c r="U57" i="22" l="1"/>
  <c r="U11" i="22"/>
  <c r="U56" i="22"/>
  <c r="U10" i="22" s="1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56" i="22"/>
  <c r="V10" i="22" s="1"/>
  <c r="V57" i="22"/>
  <c r="X11" i="19"/>
  <c r="X36" i="19"/>
  <c r="X37" i="19"/>
  <c r="X10" i="19" s="1"/>
  <c r="Y14" i="19"/>
  <c r="V59" i="24"/>
  <c r="W14" i="24"/>
  <c r="V11" i="24"/>
  <c r="V58" i="24"/>
  <c r="W11" i="22" l="1"/>
  <c r="W57" i="22"/>
  <c r="W56" i="22"/>
  <c r="W10" i="22" s="1"/>
  <c r="X14" i="22"/>
  <c r="Y11" i="19"/>
  <c r="Z14" i="19"/>
  <c r="Y36" i="19"/>
  <c r="Y37" i="19"/>
  <c r="W59" i="24"/>
  <c r="X14" i="24"/>
  <c r="W11" i="24"/>
  <c r="W58" i="24"/>
  <c r="Y14" i="22" l="1"/>
  <c r="X57" i="22"/>
  <c r="X56" i="22"/>
  <c r="X10" i="22" s="1"/>
  <c r="X11" i="22"/>
  <c r="Y10" i="19"/>
  <c r="Z36" i="19"/>
  <c r="Z37" i="19"/>
  <c r="AA14" i="19"/>
  <c r="Z11" i="19"/>
  <c r="Y14" i="24"/>
  <c r="X11" i="24"/>
  <c r="X58" i="24"/>
  <c r="X59" i="24"/>
  <c r="Y11" i="22" l="1"/>
  <c r="Y57" i="22"/>
  <c r="Y56" i="22"/>
  <c r="Y10" i="22" s="1"/>
  <c r="Z14" i="22"/>
  <c r="AA37" i="19"/>
  <c r="AA36" i="19"/>
  <c r="AB14" i="19"/>
  <c r="AA11" i="19"/>
  <c r="Z10" i="19"/>
  <c r="Y58" i="24"/>
  <c r="Y59" i="24"/>
  <c r="Z14" i="24"/>
  <c r="Y11" i="24"/>
  <c r="Z11" i="22" l="1"/>
  <c r="Z56" i="22"/>
  <c r="Z10" i="22" s="1"/>
  <c r="Z57" i="22"/>
  <c r="AA14" i="22"/>
  <c r="AB11" i="19"/>
  <c r="AB36" i="19"/>
  <c r="AB37" i="19"/>
  <c r="AC14" i="19"/>
  <c r="AA10" i="19"/>
  <c r="Z59" i="24"/>
  <c r="AA14" i="24"/>
  <c r="Z11" i="24"/>
  <c r="Z58" i="24"/>
  <c r="AB14" i="22" l="1"/>
  <c r="AA11" i="22"/>
  <c r="AA56" i="22"/>
  <c r="AA10" i="22" s="1"/>
  <c r="AA57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56" i="22"/>
  <c r="AB10" i="22" s="1"/>
  <c r="AB11" i="22"/>
  <c r="AB57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20" i="22" l="1"/>
  <c r="AC25" i="22"/>
  <c r="AC19" i="22"/>
  <c r="AC24" i="22"/>
  <c r="AC23" i="22"/>
  <c r="AC60" i="22"/>
  <c r="AC75" i="22"/>
  <c r="AC53" i="22"/>
  <c r="AC11" i="22"/>
  <c r="AC18" i="22"/>
  <c r="AC64" i="22"/>
  <c r="AC70" i="22"/>
  <c r="AC62" i="22"/>
  <c r="AC56" i="22"/>
  <c r="AC76" i="22"/>
  <c r="AC77" i="22"/>
  <c r="AC15" i="22"/>
  <c r="AC21" i="22"/>
  <c r="AC55" i="22"/>
  <c r="AC72" i="22"/>
  <c r="AC71" i="22"/>
  <c r="AC73" i="22"/>
  <c r="AC42" i="22"/>
  <c r="AC57" i="22"/>
  <c r="AC16" i="22"/>
  <c r="AC63" i="22"/>
  <c r="AC40" i="22"/>
  <c r="AC67" i="22"/>
  <c r="AC17" i="22"/>
  <c r="AC65" i="22"/>
  <c r="AC68" i="22"/>
  <c r="AC61" i="22"/>
  <c r="AC80" i="22"/>
  <c r="AC66" i="22"/>
  <c r="AC41" i="22"/>
  <c r="AC79" i="22"/>
  <c r="AC59" i="22"/>
  <c r="AC74" i="22"/>
  <c r="AD14" i="22"/>
  <c r="AC39" i="22"/>
  <c r="AC26" i="22"/>
  <c r="AC78" i="22"/>
  <c r="AC81" i="22"/>
  <c r="AC22" i="22"/>
  <c r="AC54" i="22"/>
  <c r="AC69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20" i="22" l="1"/>
  <c r="AD25" i="22"/>
  <c r="AD19" i="22"/>
  <c r="AD24" i="22"/>
  <c r="AD23" i="22"/>
  <c r="AC10" i="22"/>
  <c r="AD80" i="22"/>
  <c r="AD40" i="22"/>
  <c r="AD39" i="22"/>
  <c r="AD22" i="22"/>
  <c r="AD64" i="22"/>
  <c r="AD73" i="22"/>
  <c r="AD26" i="22"/>
  <c r="AD15" i="22"/>
  <c r="AD79" i="22"/>
  <c r="AD16" i="22"/>
  <c r="AD71" i="22"/>
  <c r="AD57" i="22"/>
  <c r="AD42" i="22"/>
  <c r="AD67" i="22"/>
  <c r="AD76" i="22"/>
  <c r="AD74" i="22"/>
  <c r="AD21" i="22"/>
  <c r="AD66" i="22"/>
  <c r="AD75" i="22"/>
  <c r="AD72" i="22"/>
  <c r="AD70" i="22"/>
  <c r="AD78" i="22"/>
  <c r="AD61" i="22"/>
  <c r="AD55" i="22"/>
  <c r="AD54" i="22"/>
  <c r="AD69" i="22"/>
  <c r="AD62" i="22"/>
  <c r="AD18" i="22"/>
  <c r="AD53" i="22"/>
  <c r="AD63" i="22"/>
  <c r="AD60" i="22"/>
  <c r="AD81" i="22"/>
  <c r="AD59" i="22"/>
  <c r="AD56" i="22"/>
  <c r="AD65" i="22"/>
  <c r="AD68" i="22"/>
  <c r="AD41" i="22"/>
  <c r="AD17" i="22"/>
  <c r="AD11" i="22"/>
  <c r="AD77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<sst xmlns="http://schemas.openxmlformats.org/spreadsheetml/2006/main" count="396" uniqueCount="185">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</sst>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</cellXfs>
  <cellStyles count="2">
    <cellStyle name="Normal" xfId="0" builtinId="0"/>
    <cellStyle name="Satisfaisant" xfId="1" builtinId="26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65.5</c:v>
                </c:pt>
                <c:pt idx="1">
                  <c:v>56.5</c:v>
                </c:pt>
                <c:pt idx="2">
                  <c:v>51</c:v>
                </c:pt>
                <c:pt idx="3">
                  <c:v>35.5</c:v>
                </c:pt>
                <c:pt idx="4">
                  <c:v>29</c:v>
                </c:pt>
                <c:pt idx="5">
                  <c:v>27.5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72.5</c:v>
                </c:pt>
                <c:pt idx="1">
                  <c:v>65.25</c:v>
                </c:pt>
                <c:pt idx="2">
                  <c:v>58</c:v>
                </c:pt>
                <c:pt idx="3">
                  <c:v>50.75</c:v>
                </c:pt>
                <c:pt idx="4">
                  <c:v>43.5</c:v>
                </c:pt>
                <c:pt idx="5">
                  <c:v>36.25</c:v>
                </c:pt>
                <c:pt idx="6">
                  <c:v>29</c:v>
                </c:pt>
                <c:pt idx="7">
                  <c:v>21.75</c:v>
                </c:pt>
                <c:pt idx="8">
                  <c:v>14.5</c:v>
                </c:pt>
                <c:pt idx="9">
                  <c:v>7.25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63.899999999999991</c:v>
                </c:pt>
                <c:pt idx="1">
                  <c:v>55.899999999999991</c:v>
                </c:pt>
                <c:pt idx="2">
                  <c:v>47.899999999999991</c:v>
                </c:pt>
                <c:pt idx="3">
                  <c:v>39.899999999999991</c:v>
                </c:pt>
                <c:pt idx="4">
                  <c:v>31.9</c:v>
                </c:pt>
                <c:pt idx="5">
                  <c:v>23.9</c:v>
                </c:pt>
                <c:pt idx="6">
                  <c:v>15.899999999999999</c:v>
                </c:pt>
                <c:pt idx="7">
                  <c:v>7.8999999999999986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E11" sqref="E11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5" t="s">
        <v>38</v>
      </c>
      <c r="C10" s="86" t="s">
        <v>147</v>
      </c>
      <c r="D10" s="86"/>
      <c r="E10" s="86"/>
      <c r="F10" s="86">
        <v>3</v>
      </c>
      <c r="G10" s="85" t="s">
        <v>40</v>
      </c>
      <c r="H10" s="87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86"/>
  <sheetViews>
    <sheetView tabSelected="1" zoomScale="140" zoomScaleNormal="140" workbookViewId="0">
      <pane ySplit="14" topLeftCell="A48" activePane="bottomLeft" state="frozen"/>
      <selection pane="bottomLeft" activeCell="D55" sqref="D5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72.5</v>
      </c>
      <c r="F10" s="17">
        <f ca="1">IF(AND(SUM(OFFSET(F14,1,0,TaskRows,1))=0),0,SUM(OFFSET(F14,1,0,TaskRows,1)))</f>
        <v>65.5</v>
      </c>
      <c r="G10" s="17">
        <f t="shared" ref="G10:AD10" ca="1" si="0">IF(AND(SUM(OFFSET(G14,1,0,TaskRows,1))=0),"",SUM(OFFSET(G14,1,0,TaskRows,1)))</f>
        <v>56.5</v>
      </c>
      <c r="H10" s="17">
        <f t="shared" ca="1" si="0"/>
        <v>51</v>
      </c>
      <c r="I10" s="17">
        <f t="shared" ca="1" si="0"/>
        <v>35.5</v>
      </c>
      <c r="J10" s="17">
        <f t="shared" ca="1" si="0"/>
        <v>29</v>
      </c>
      <c r="K10" s="17">
        <f t="shared" ca="1" si="0"/>
        <v>27.5</v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IF(COUNTA(A15:A264)=0,1,COUNTA(A15:A264))</f>
        <v>45</v>
      </c>
      <c r="C11" t="s">
        <v>104</v>
      </c>
      <c r="D11" s="2">
        <f ca="1">IF(COUNTIF(F10:AD10,"&gt;0")=0,1,COUNTIF(F10:AD10,"&gt;0"))</f>
        <v>6</v>
      </c>
      <c r="F11" s="2">
        <f ca="1">IF(F14="","",$E10-$E10/($B9-1)*(F14-1))</f>
        <v>72.5</v>
      </c>
      <c r="G11" s="2">
        <f t="shared" ref="G11:AD11" ca="1" si="1">IF(G14="","",TotalEffort-TotalEffort/(ImplementationDays)*(G14-1))</f>
        <v>65.25</v>
      </c>
      <c r="H11" s="2">
        <f t="shared" ca="1" si="1"/>
        <v>58</v>
      </c>
      <c r="I11" s="2">
        <f t="shared" ca="1" si="1"/>
        <v>50.75</v>
      </c>
      <c r="J11" s="2">
        <f t="shared" ca="1" si="1"/>
        <v>43.5</v>
      </c>
      <c r="K11" s="2">
        <f t="shared" ca="1" si="1"/>
        <v>36.25</v>
      </c>
      <c r="L11" s="2">
        <f t="shared" ca="1" si="1"/>
        <v>29</v>
      </c>
      <c r="M11" s="2">
        <f t="shared" ca="1" si="1"/>
        <v>21.75</v>
      </c>
      <c r="N11" s="2">
        <f t="shared" ca="1" si="1"/>
        <v>14.5</v>
      </c>
      <c r="O11" s="2">
        <f t="shared" ca="1" si="1"/>
        <v>7.25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63.899999999999991</v>
      </c>
      <c r="G12" s="2">
        <f t="shared" ca="1" si="2"/>
        <v>55.899999999999991</v>
      </c>
      <c r="H12" s="2">
        <f t="shared" ca="1" si="2"/>
        <v>47.899999999999991</v>
      </c>
      <c r="I12" s="2">
        <f t="shared" ca="1" si="2"/>
        <v>39.899999999999991</v>
      </c>
      <c r="J12" s="2">
        <f t="shared" ca="1" si="2"/>
        <v>31.9</v>
      </c>
      <c r="K12" s="2">
        <f t="shared" ca="1" si="2"/>
        <v>23.9</v>
      </c>
      <c r="L12" s="2">
        <f t="shared" ca="1" si="2"/>
        <v>15.899999999999999</v>
      </c>
      <c r="M12" s="2">
        <f t="shared" ca="1" si="2"/>
        <v>7.8999999999999986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31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AC15" s="2" t="str">
        <f t="shared" ref="AC15:AD57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39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31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140</v>
      </c>
      <c r="B22" s="34">
        <v>3</v>
      </c>
      <c r="C22" t="s">
        <v>137</v>
      </c>
      <c r="D22" s="35" t="s">
        <v>31</v>
      </c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 t="s">
        <v>142</v>
      </c>
      <c r="B26" s="34">
        <v>5</v>
      </c>
      <c r="D26" s="35"/>
      <c r="E26" s="34"/>
      <c r="F26" s="34"/>
      <c r="G26" s="34"/>
      <c r="H26" s="34"/>
      <c r="I26" s="34"/>
      <c r="J26" s="34"/>
      <c r="AC26" s="2" t="str">
        <f t="shared" si="4"/>
        <v/>
      </c>
      <c r="AD26" s="2" t="str">
        <f t="shared" si="4"/>
        <v/>
      </c>
    </row>
    <row r="27" spans="1:30" x14ac:dyDescent="0.2">
      <c r="A27" s="35" t="s">
        <v>153</v>
      </c>
      <c r="B27" s="34">
        <v>5</v>
      </c>
      <c r="C27" t="s">
        <v>154</v>
      </c>
      <c r="D27" s="35" t="s">
        <v>24</v>
      </c>
      <c r="E27" s="34">
        <v>5</v>
      </c>
      <c r="F27" s="34">
        <v>5</v>
      </c>
      <c r="G27" s="34">
        <v>3</v>
      </c>
      <c r="H27" s="34">
        <v>3</v>
      </c>
      <c r="I27" s="34">
        <v>2</v>
      </c>
      <c r="J27" s="34">
        <v>1</v>
      </c>
      <c r="K27" s="2">
        <v>0</v>
      </c>
    </row>
    <row r="28" spans="1:30" x14ac:dyDescent="0.2">
      <c r="A28" s="35" t="s">
        <v>155</v>
      </c>
      <c r="B28" s="34">
        <v>5</v>
      </c>
      <c r="C28" t="s">
        <v>132</v>
      </c>
      <c r="D28" s="35" t="s">
        <v>31</v>
      </c>
      <c r="E28" s="34">
        <v>5</v>
      </c>
      <c r="F28" s="34">
        <v>5</v>
      </c>
      <c r="G28" s="34">
        <v>5</v>
      </c>
      <c r="H28" s="34">
        <v>5</v>
      </c>
      <c r="I28" s="34">
        <v>5</v>
      </c>
      <c r="J28" s="34">
        <v>5</v>
      </c>
      <c r="K28" s="2">
        <v>5</v>
      </c>
    </row>
    <row r="29" spans="1:30" x14ac:dyDescent="0.2">
      <c r="A29" s="35" t="s">
        <v>180</v>
      </c>
      <c r="B29" s="34">
        <v>5</v>
      </c>
      <c r="C29" t="s">
        <v>125</v>
      </c>
      <c r="D29" s="35" t="s">
        <v>31</v>
      </c>
      <c r="E29" s="34">
        <v>3</v>
      </c>
      <c r="F29" s="34">
        <v>3</v>
      </c>
      <c r="G29" s="34">
        <v>1</v>
      </c>
      <c r="H29" s="34">
        <v>1</v>
      </c>
      <c r="I29" s="34">
        <v>1</v>
      </c>
      <c r="J29" s="34">
        <v>1</v>
      </c>
      <c r="K29" s="2">
        <v>1</v>
      </c>
    </row>
    <row r="30" spans="1:30" x14ac:dyDescent="0.2">
      <c r="A30" s="35" t="s">
        <v>156</v>
      </c>
      <c r="B30" s="34">
        <v>5</v>
      </c>
      <c r="C30" t="s">
        <v>125</v>
      </c>
      <c r="D30" s="35" t="s">
        <v>24</v>
      </c>
      <c r="E30" s="34">
        <v>1</v>
      </c>
      <c r="F30" s="34">
        <v>1</v>
      </c>
      <c r="G30" s="34">
        <v>0</v>
      </c>
      <c r="H30" s="34">
        <v>0</v>
      </c>
      <c r="I30" s="34">
        <v>0</v>
      </c>
      <c r="J30" s="34">
        <v>0</v>
      </c>
      <c r="K30" s="2">
        <v>0</v>
      </c>
    </row>
    <row r="31" spans="1:30" x14ac:dyDescent="0.2">
      <c r="A31" s="35" t="s">
        <v>157</v>
      </c>
      <c r="B31" s="34">
        <v>6</v>
      </c>
      <c r="C31" t="s">
        <v>125</v>
      </c>
      <c r="D31" s="35" t="s">
        <v>31</v>
      </c>
      <c r="E31" s="34">
        <v>2</v>
      </c>
      <c r="F31" s="34">
        <v>2</v>
      </c>
      <c r="G31" s="34">
        <v>1</v>
      </c>
      <c r="H31" s="34">
        <v>1</v>
      </c>
      <c r="I31" s="34">
        <v>1</v>
      </c>
      <c r="J31" s="34">
        <v>1</v>
      </c>
      <c r="K31" s="2">
        <v>1</v>
      </c>
    </row>
    <row r="32" spans="1:30" x14ac:dyDescent="0.2">
      <c r="A32" s="35" t="s">
        <v>158</v>
      </c>
      <c r="B32" s="34">
        <v>6</v>
      </c>
      <c r="D32" s="35"/>
      <c r="E32" s="34"/>
      <c r="F32" s="34"/>
      <c r="G32" s="34"/>
      <c r="H32" s="34"/>
      <c r="I32" s="34"/>
      <c r="J32" s="34"/>
    </row>
    <row r="33" spans="1:30" x14ac:dyDescent="0.2">
      <c r="A33" s="35" t="s">
        <v>159</v>
      </c>
      <c r="B33" s="34">
        <v>6</v>
      </c>
      <c r="C33" t="s">
        <v>154</v>
      </c>
      <c r="D33" s="35" t="s">
        <v>31</v>
      </c>
      <c r="E33" s="34">
        <v>5</v>
      </c>
      <c r="F33" s="34">
        <v>5</v>
      </c>
      <c r="G33" s="34">
        <v>5</v>
      </c>
      <c r="H33" s="34">
        <v>5</v>
      </c>
      <c r="I33" s="34">
        <v>5</v>
      </c>
      <c r="J33" s="34">
        <v>5</v>
      </c>
      <c r="K33" s="2">
        <v>10</v>
      </c>
    </row>
    <row r="34" spans="1:30" x14ac:dyDescent="0.2">
      <c r="A34" s="35" t="s">
        <v>160</v>
      </c>
      <c r="B34" s="34">
        <v>6</v>
      </c>
      <c r="C34" t="s">
        <v>154</v>
      </c>
      <c r="D34" s="35" t="s">
        <v>31</v>
      </c>
      <c r="E34" s="34">
        <v>2</v>
      </c>
      <c r="F34" s="34">
        <v>2</v>
      </c>
      <c r="G34" s="34">
        <v>2</v>
      </c>
      <c r="H34" s="34">
        <v>2</v>
      </c>
      <c r="I34" s="34">
        <v>2</v>
      </c>
      <c r="J34" s="34">
        <v>2</v>
      </c>
      <c r="K34" s="2">
        <v>2</v>
      </c>
    </row>
    <row r="35" spans="1:30" x14ac:dyDescent="0.2">
      <c r="A35" s="35"/>
      <c r="B35" s="34"/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161</v>
      </c>
      <c r="B36" s="34">
        <v>5</v>
      </c>
      <c r="C36" t="s">
        <v>137</v>
      </c>
      <c r="D36" s="35" t="s">
        <v>24</v>
      </c>
      <c r="E36" s="34">
        <v>2</v>
      </c>
      <c r="F36" s="34">
        <v>2</v>
      </c>
      <c r="G36" s="34">
        <v>1</v>
      </c>
      <c r="H36" s="34">
        <v>0</v>
      </c>
      <c r="I36" s="34">
        <v>0</v>
      </c>
      <c r="J36" s="34">
        <v>0</v>
      </c>
      <c r="K36" s="2">
        <v>0</v>
      </c>
    </row>
    <row r="37" spans="1:30" x14ac:dyDescent="0.2">
      <c r="A37" s="35" t="s">
        <v>162</v>
      </c>
      <c r="B37" s="34">
        <v>5</v>
      </c>
      <c r="C37" t="s">
        <v>137</v>
      </c>
      <c r="D37" s="35" t="s">
        <v>147</v>
      </c>
      <c r="E37" s="34">
        <v>1</v>
      </c>
      <c r="F37" s="34">
        <v>1</v>
      </c>
      <c r="G37" s="34">
        <v>1</v>
      </c>
      <c r="H37" s="34">
        <v>0</v>
      </c>
      <c r="I37" s="34">
        <v>0</v>
      </c>
      <c r="J37" s="34">
        <v>0</v>
      </c>
      <c r="K37" s="2">
        <v>0</v>
      </c>
    </row>
    <row r="38" spans="1:30" x14ac:dyDescent="0.2">
      <c r="A38" s="35" t="s">
        <v>163</v>
      </c>
      <c r="B38" s="34">
        <v>5</v>
      </c>
      <c r="C38" t="s">
        <v>137</v>
      </c>
      <c r="D38" s="35" t="s">
        <v>24</v>
      </c>
      <c r="E38" s="34">
        <v>1</v>
      </c>
      <c r="F38" s="34">
        <v>1</v>
      </c>
      <c r="G38" s="34">
        <v>0</v>
      </c>
      <c r="H38" s="34">
        <v>0</v>
      </c>
      <c r="I38" s="34">
        <v>0</v>
      </c>
      <c r="J38" s="34">
        <v>0</v>
      </c>
      <c r="K38" s="2">
        <v>0</v>
      </c>
    </row>
    <row r="39" spans="1:30" x14ac:dyDescent="0.2">
      <c r="A39" s="35" t="s">
        <v>143</v>
      </c>
      <c r="B39" s="34">
        <v>5</v>
      </c>
      <c r="C39" t="s">
        <v>137</v>
      </c>
      <c r="D39" s="35" t="s">
        <v>24</v>
      </c>
      <c r="E39" s="34">
        <v>3</v>
      </c>
      <c r="F39" s="34">
        <v>3</v>
      </c>
      <c r="G39" s="34">
        <v>3</v>
      </c>
      <c r="H39" s="34">
        <v>2</v>
      </c>
      <c r="I39" s="34">
        <v>1</v>
      </c>
      <c r="J39" s="34">
        <v>0</v>
      </c>
      <c r="K39" s="2">
        <v>0</v>
      </c>
      <c r="AC39" s="2" t="str">
        <f t="shared" si="4"/>
        <v/>
      </c>
      <c r="AD39" s="2" t="str">
        <f t="shared" si="4"/>
        <v/>
      </c>
    </row>
    <row r="40" spans="1:30" x14ac:dyDescent="0.2">
      <c r="A40" s="35" t="s">
        <v>144</v>
      </c>
      <c r="B40" s="34">
        <v>7</v>
      </c>
      <c r="C40" t="s">
        <v>125</v>
      </c>
      <c r="D40" s="35" t="s">
        <v>24</v>
      </c>
      <c r="E40" s="34">
        <v>1</v>
      </c>
      <c r="F40" s="34">
        <v>1</v>
      </c>
      <c r="G40" s="34">
        <v>1</v>
      </c>
      <c r="H40" s="34">
        <v>1</v>
      </c>
      <c r="I40" s="34">
        <v>0</v>
      </c>
      <c r="J40" s="34">
        <v>0</v>
      </c>
      <c r="K40" s="2">
        <v>0</v>
      </c>
      <c r="AC40" s="2" t="str">
        <f t="shared" si="4"/>
        <v/>
      </c>
      <c r="AD40" s="2" t="str">
        <f t="shared" si="4"/>
        <v/>
      </c>
    </row>
    <row r="41" spans="1:30" x14ac:dyDescent="0.2">
      <c r="A41" s="35" t="s">
        <v>164</v>
      </c>
      <c r="B41" s="2">
        <v>7</v>
      </c>
      <c r="C41" t="s">
        <v>137</v>
      </c>
      <c r="D41" s="35" t="s">
        <v>24</v>
      </c>
      <c r="E41" s="2">
        <v>3</v>
      </c>
      <c r="F41" s="2">
        <v>3</v>
      </c>
      <c r="G41" s="2">
        <v>3</v>
      </c>
      <c r="H41" s="2">
        <v>2</v>
      </c>
      <c r="I41" s="2">
        <v>1</v>
      </c>
      <c r="J41" s="34">
        <v>0</v>
      </c>
      <c r="K41" s="2">
        <v>0</v>
      </c>
      <c r="AC41" s="2" t="str">
        <f t="shared" si="4"/>
        <v/>
      </c>
      <c r="AD41" s="2" t="str">
        <f t="shared" si="4"/>
        <v/>
      </c>
    </row>
    <row r="42" spans="1:30" x14ac:dyDescent="0.2">
      <c r="A42" s="35" t="s">
        <v>165</v>
      </c>
      <c r="C42" t="s">
        <v>137</v>
      </c>
      <c r="D42" t="s">
        <v>31</v>
      </c>
      <c r="E42" s="2">
        <v>1</v>
      </c>
      <c r="F42" s="2">
        <f t="shared" ref="F42:F59" si="5">IF(OR(F$14="",$E42=""),"",E42)</f>
        <v>1</v>
      </c>
      <c r="G42" s="2">
        <v>1</v>
      </c>
      <c r="H42" s="2">
        <v>1</v>
      </c>
      <c r="I42" s="2">
        <v>1</v>
      </c>
      <c r="J42" s="2">
        <v>1</v>
      </c>
      <c r="K42" s="2">
        <v>1</v>
      </c>
      <c r="AC42" s="2" t="str">
        <f t="shared" si="4"/>
        <v/>
      </c>
      <c r="AD42" s="2" t="str">
        <f t="shared" si="4"/>
        <v/>
      </c>
    </row>
    <row r="43" spans="1:30" x14ac:dyDescent="0.2">
      <c r="A43" s="35"/>
    </row>
    <row r="44" spans="1:30" x14ac:dyDescent="0.2">
      <c r="A44" s="35" t="s">
        <v>166</v>
      </c>
      <c r="B44" s="2">
        <v>8</v>
      </c>
      <c r="C44" t="s">
        <v>137</v>
      </c>
      <c r="D44" t="s">
        <v>31</v>
      </c>
    </row>
    <row r="45" spans="1:30" x14ac:dyDescent="0.2">
      <c r="A45" s="35" t="s">
        <v>167</v>
      </c>
      <c r="B45" s="2">
        <v>8</v>
      </c>
      <c r="C45" t="s">
        <v>137</v>
      </c>
      <c r="D45" t="s">
        <v>24</v>
      </c>
      <c r="E45" s="2">
        <v>0.5</v>
      </c>
      <c r="F45" s="2">
        <v>0.5</v>
      </c>
      <c r="G45" s="2">
        <v>0.5</v>
      </c>
      <c r="H45" s="2">
        <v>0.5</v>
      </c>
      <c r="I45" s="2">
        <v>0.5</v>
      </c>
      <c r="J45" s="2">
        <v>0.5</v>
      </c>
      <c r="K45" s="2">
        <v>0</v>
      </c>
    </row>
    <row r="46" spans="1:30" x14ac:dyDescent="0.2">
      <c r="A46" s="35" t="s">
        <v>168</v>
      </c>
      <c r="B46" s="2">
        <v>8</v>
      </c>
      <c r="C46" t="s">
        <v>137</v>
      </c>
      <c r="D46" t="s">
        <v>24</v>
      </c>
      <c r="E46" s="2">
        <v>1</v>
      </c>
      <c r="F46" s="2">
        <v>1</v>
      </c>
      <c r="G46" s="2">
        <v>1</v>
      </c>
      <c r="H46" s="2">
        <v>1</v>
      </c>
      <c r="I46" s="2">
        <v>1</v>
      </c>
      <c r="J46" s="2">
        <v>1</v>
      </c>
      <c r="K46" s="2">
        <v>0</v>
      </c>
    </row>
    <row r="47" spans="1:30" x14ac:dyDescent="0.2">
      <c r="A47" s="35" t="s">
        <v>169</v>
      </c>
      <c r="B47" s="2">
        <v>8</v>
      </c>
      <c r="C47" t="s">
        <v>137</v>
      </c>
      <c r="D47" t="s">
        <v>24</v>
      </c>
      <c r="E47" s="2">
        <v>2</v>
      </c>
      <c r="F47" s="2">
        <v>2</v>
      </c>
      <c r="G47" s="2">
        <v>2</v>
      </c>
      <c r="H47" s="2">
        <v>2</v>
      </c>
      <c r="I47" s="2">
        <v>2</v>
      </c>
      <c r="J47" s="2">
        <v>2</v>
      </c>
      <c r="K47" s="2">
        <v>0</v>
      </c>
    </row>
    <row r="48" spans="1:30" x14ac:dyDescent="0.2">
      <c r="A48" s="35"/>
    </row>
    <row r="49" spans="1:30" x14ac:dyDescent="0.2">
      <c r="A49" s="35" t="s">
        <v>170</v>
      </c>
      <c r="B49" s="88">
        <v>8</v>
      </c>
      <c r="C49" t="s">
        <v>137</v>
      </c>
      <c r="D49" t="s">
        <v>24</v>
      </c>
      <c r="E49" s="2">
        <v>4</v>
      </c>
      <c r="F49" s="2">
        <v>4</v>
      </c>
      <c r="G49" s="2">
        <v>4</v>
      </c>
      <c r="H49" s="2">
        <v>4</v>
      </c>
      <c r="I49" s="2">
        <v>3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171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1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 t="s">
        <v>172</v>
      </c>
      <c r="B51" s="2">
        <v>8</v>
      </c>
      <c r="C51" t="s">
        <v>137</v>
      </c>
      <c r="D51" t="s">
        <v>24</v>
      </c>
      <c r="E51" s="2">
        <v>1</v>
      </c>
      <c r="F51" s="2">
        <v>1</v>
      </c>
      <c r="G51" s="2">
        <v>1</v>
      </c>
      <c r="H51" s="2">
        <v>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</row>
    <row r="52" spans="1:30" x14ac:dyDescent="0.2">
      <c r="A52" s="35" t="s">
        <v>181</v>
      </c>
      <c r="B52" s="2">
        <v>8</v>
      </c>
      <c r="C52" t="s">
        <v>132</v>
      </c>
      <c r="D52" t="s">
        <v>31</v>
      </c>
      <c r="E52" s="2">
        <v>2</v>
      </c>
      <c r="F52" s="2">
        <v>2</v>
      </c>
      <c r="G52" s="2">
        <v>2</v>
      </c>
      <c r="H52" s="2">
        <v>2</v>
      </c>
      <c r="I52" s="2">
        <v>2</v>
      </c>
      <c r="J52" s="2">
        <v>2</v>
      </c>
      <c r="K52" s="2">
        <v>1</v>
      </c>
    </row>
    <row r="53" spans="1:30" x14ac:dyDescent="0.2">
      <c r="D53" t="str">
        <f t="shared" ref="D53:D57" si="6">IF(A53&lt;&gt;"","Planned","")</f>
        <v/>
      </c>
      <c r="F53" s="2" t="str">
        <f t="shared" si="5"/>
        <v/>
      </c>
      <c r="AC53" s="2" t="str">
        <f t="shared" si="4"/>
        <v/>
      </c>
      <c r="AD53" s="2" t="str">
        <f t="shared" si="4"/>
        <v/>
      </c>
    </row>
    <row r="54" spans="1:30" x14ac:dyDescent="0.2">
      <c r="A54" t="s">
        <v>173</v>
      </c>
      <c r="F54" s="2" t="str">
        <f t="shared" si="5"/>
        <v/>
      </c>
      <c r="AC54" s="2" t="str">
        <f t="shared" si="4"/>
        <v/>
      </c>
      <c r="AD54" s="2" t="str">
        <f t="shared" si="4"/>
        <v/>
      </c>
    </row>
    <row r="55" spans="1:30" x14ac:dyDescent="0.2">
      <c r="A55" t="s">
        <v>174</v>
      </c>
      <c r="C55" t="s">
        <v>137</v>
      </c>
      <c r="D55" t="s">
        <v>24</v>
      </c>
      <c r="E55" s="2">
        <v>1</v>
      </c>
      <c r="F55" s="2">
        <f t="shared" si="5"/>
        <v>1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0</v>
      </c>
      <c r="M55" s="2">
        <v>0</v>
      </c>
      <c r="N55" s="2">
        <v>0</v>
      </c>
      <c r="O55" s="2">
        <v>0</v>
      </c>
      <c r="AC55" s="2" t="str">
        <f t="shared" si="4"/>
        <v/>
      </c>
      <c r="AD55" s="2" t="str">
        <f t="shared" si="4"/>
        <v/>
      </c>
    </row>
    <row r="56" spans="1:30" x14ac:dyDescent="0.2">
      <c r="A56" t="s">
        <v>175</v>
      </c>
      <c r="C56" t="s">
        <v>137</v>
      </c>
      <c r="D56" t="s">
        <v>24</v>
      </c>
      <c r="E56" s="2">
        <v>1</v>
      </c>
      <c r="F56" s="2">
        <f t="shared" si="5"/>
        <v>1</v>
      </c>
      <c r="G56" s="2">
        <f t="shared" ref="G56:AB56" si="7">IF(OR(G$14="",$E56=""),"",F56)</f>
        <v>1</v>
      </c>
      <c r="H56" s="2">
        <f t="shared" si="7"/>
        <v>1</v>
      </c>
      <c r="I56" s="2">
        <f t="shared" si="7"/>
        <v>1</v>
      </c>
      <c r="J56" s="2">
        <f t="shared" si="7"/>
        <v>1</v>
      </c>
      <c r="K56" s="2">
        <f t="shared" si="7"/>
        <v>1</v>
      </c>
      <c r="L56" s="2">
        <v>0</v>
      </c>
      <c r="M56" s="2">
        <f t="shared" si="7"/>
        <v>0</v>
      </c>
      <c r="N56" s="2">
        <f t="shared" si="7"/>
        <v>0</v>
      </c>
      <c r="O56" s="2">
        <f t="shared" si="7"/>
        <v>0</v>
      </c>
      <c r="P56" s="2" t="str">
        <f t="shared" si="7"/>
        <v/>
      </c>
      <c r="Q56" s="2" t="str">
        <f t="shared" si="7"/>
        <v/>
      </c>
      <c r="R56" s="2" t="str">
        <f t="shared" si="7"/>
        <v/>
      </c>
      <c r="S56" s="2" t="str">
        <f t="shared" si="7"/>
        <v/>
      </c>
      <c r="T56" s="2" t="str">
        <f t="shared" si="7"/>
        <v/>
      </c>
      <c r="U56" s="2" t="str">
        <f t="shared" si="7"/>
        <v/>
      </c>
      <c r="V56" s="2" t="str">
        <f t="shared" si="7"/>
        <v/>
      </c>
      <c r="W56" s="2" t="str">
        <f t="shared" si="7"/>
        <v/>
      </c>
      <c r="X56" s="2" t="str">
        <f t="shared" si="7"/>
        <v/>
      </c>
      <c r="Y56" s="2" t="str">
        <f t="shared" si="7"/>
        <v/>
      </c>
      <c r="Z56" s="2" t="str">
        <f t="shared" si="7"/>
        <v/>
      </c>
      <c r="AA56" s="2" t="str">
        <f t="shared" si="7"/>
        <v/>
      </c>
      <c r="AB56" s="2" t="str">
        <f t="shared" si="7"/>
        <v/>
      </c>
      <c r="AC56" s="2" t="str">
        <f t="shared" si="4"/>
        <v/>
      </c>
      <c r="AD56" s="2" t="str">
        <f t="shared" si="4"/>
        <v/>
      </c>
    </row>
    <row r="57" spans="1:30" x14ac:dyDescent="0.2">
      <c r="A57" t="s">
        <v>176</v>
      </c>
      <c r="D57" t="str">
        <f t="shared" si="6"/>
        <v>Planned</v>
      </c>
      <c r="F57" s="2" t="str">
        <f t="shared" si="5"/>
        <v/>
      </c>
      <c r="G57" s="2" t="str">
        <f t="shared" ref="G57:AB57" si="8">IF(OR(G$14="",$E57=""),"",F57)</f>
        <v/>
      </c>
      <c r="H57" s="2" t="str">
        <f t="shared" si="8"/>
        <v/>
      </c>
      <c r="I57" s="2" t="str">
        <f t="shared" si="8"/>
        <v/>
      </c>
      <c r="J57" s="2" t="str">
        <f t="shared" si="8"/>
        <v/>
      </c>
      <c r="K57" s="2" t="str">
        <f t="shared" si="8"/>
        <v/>
      </c>
      <c r="L57" s="2" t="str">
        <f t="shared" si="8"/>
        <v/>
      </c>
      <c r="M57" s="2" t="str">
        <f t="shared" si="8"/>
        <v/>
      </c>
      <c r="N57" s="2" t="str">
        <f t="shared" si="8"/>
        <v/>
      </c>
      <c r="O57" s="2" t="str">
        <f t="shared" si="8"/>
        <v/>
      </c>
      <c r="P57" s="2" t="str">
        <f t="shared" si="8"/>
        <v/>
      </c>
      <c r="Q57" s="2" t="str">
        <f t="shared" si="8"/>
        <v/>
      </c>
      <c r="R57" s="2" t="str">
        <f t="shared" si="8"/>
        <v/>
      </c>
      <c r="S57" s="2" t="str">
        <f t="shared" si="8"/>
        <v/>
      </c>
      <c r="T57" s="2" t="str">
        <f t="shared" si="8"/>
        <v/>
      </c>
      <c r="U57" s="2" t="str">
        <f t="shared" si="8"/>
        <v/>
      </c>
      <c r="V57" s="2" t="str">
        <f t="shared" si="8"/>
        <v/>
      </c>
      <c r="W57" s="2" t="str">
        <f t="shared" si="8"/>
        <v/>
      </c>
      <c r="X57" s="2" t="str">
        <f t="shared" si="8"/>
        <v/>
      </c>
      <c r="Y57" s="2" t="str">
        <f t="shared" si="8"/>
        <v/>
      </c>
      <c r="Z57" s="2" t="str">
        <f t="shared" si="8"/>
        <v/>
      </c>
      <c r="AA57" s="2" t="str">
        <f t="shared" si="8"/>
        <v/>
      </c>
      <c r="AB57" s="2" t="str">
        <f t="shared" si="8"/>
        <v/>
      </c>
      <c r="AC57" s="2" t="str">
        <f t="shared" si="4"/>
        <v/>
      </c>
      <c r="AD57" s="2" t="str">
        <f t="shared" si="4"/>
        <v/>
      </c>
    </row>
    <row r="58" spans="1:30" x14ac:dyDescent="0.2">
      <c r="A58" t="s">
        <v>177</v>
      </c>
      <c r="E58" s="2">
        <v>0</v>
      </c>
      <c r="F58" s="2">
        <f t="shared" si="5"/>
        <v>0</v>
      </c>
    </row>
    <row r="59" spans="1:30" x14ac:dyDescent="0.2">
      <c r="A59" t="s">
        <v>178</v>
      </c>
      <c r="E59" s="2">
        <v>0</v>
      </c>
      <c r="F59" s="2">
        <f t="shared" si="5"/>
        <v>0</v>
      </c>
      <c r="AC59" s="2" t="str">
        <f t="shared" ref="AC59:AD81" si="9">IF(OR(AC$14="",$E59=""),"",AB59)</f>
        <v/>
      </c>
      <c r="AD59" s="2" t="str">
        <f t="shared" si="9"/>
        <v/>
      </c>
    </row>
    <row r="60" spans="1:30" x14ac:dyDescent="0.2">
      <c r="A60" t="s">
        <v>179</v>
      </c>
      <c r="AC60" s="2" t="str">
        <f t="shared" si="9"/>
        <v/>
      </c>
      <c r="AD60" s="2" t="str">
        <f t="shared" si="9"/>
        <v/>
      </c>
    </row>
    <row r="61" spans="1:30" x14ac:dyDescent="0.2">
      <c r="AC61" s="2" t="str">
        <f t="shared" si="9"/>
        <v/>
      </c>
      <c r="AD61" s="2" t="str">
        <f t="shared" si="9"/>
        <v/>
      </c>
    </row>
    <row r="62" spans="1:30" x14ac:dyDescent="0.2">
      <c r="A62" t="s">
        <v>182</v>
      </c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64" t="s">
        <v>183</v>
      </c>
      <c r="D64" s="35"/>
      <c r="E64" s="34"/>
      <c r="AC64" s="2" t="str">
        <f t="shared" si="9"/>
        <v/>
      </c>
      <c r="AD64" s="2" t="str">
        <f t="shared" si="9"/>
        <v/>
      </c>
    </row>
    <row r="65" spans="1:30" x14ac:dyDescent="0.2">
      <c r="A65" s="35" t="s">
        <v>184</v>
      </c>
      <c r="B65" s="34"/>
      <c r="D65" s="35"/>
      <c r="E65" s="34"/>
      <c r="AC65" s="2" t="str">
        <f t="shared" si="9"/>
        <v/>
      </c>
      <c r="AD65" s="2" t="str">
        <f t="shared" si="9"/>
        <v/>
      </c>
    </row>
    <row r="66" spans="1:30" x14ac:dyDescent="0.2">
      <c r="A66" s="35"/>
      <c r="B66" s="34"/>
      <c r="D66" s="35"/>
      <c r="E66" s="34"/>
      <c r="AC66" s="2" t="str">
        <f t="shared" si="9"/>
        <v/>
      </c>
      <c r="AD66" s="2" t="str">
        <f t="shared" si="9"/>
        <v/>
      </c>
    </row>
    <row r="67" spans="1:30" x14ac:dyDescent="0.2">
      <c r="A67" s="35"/>
      <c r="B67" s="34"/>
      <c r="D67" s="35"/>
      <c r="E67" s="34"/>
      <c r="AC67" s="2" t="str">
        <f t="shared" si="9"/>
        <v/>
      </c>
      <c r="AD67" s="2" t="str">
        <f t="shared" si="9"/>
        <v/>
      </c>
    </row>
    <row r="68" spans="1:30" x14ac:dyDescent="0.2">
      <c r="A68" s="35"/>
      <c r="B68" s="34"/>
      <c r="D68" s="35"/>
      <c r="E68" s="34"/>
      <c r="AC68" s="2" t="str">
        <f t="shared" si="9"/>
        <v/>
      </c>
      <c r="AD68" s="2" t="str">
        <f t="shared" si="9"/>
        <v/>
      </c>
    </row>
    <row r="69" spans="1:30" x14ac:dyDescent="0.2">
      <c r="AC69" s="2" t="str">
        <f t="shared" si="9"/>
        <v/>
      </c>
      <c r="AD69" s="2" t="str">
        <f t="shared" si="9"/>
        <v/>
      </c>
    </row>
    <row r="70" spans="1:30" x14ac:dyDescent="0.2">
      <c r="AC70" s="2" t="str">
        <f t="shared" si="9"/>
        <v/>
      </c>
      <c r="AD70" s="2" t="str">
        <f t="shared" si="9"/>
        <v/>
      </c>
    </row>
    <row r="71" spans="1:30" x14ac:dyDescent="0.2">
      <c r="AC71" s="2" t="str">
        <f t="shared" si="9"/>
        <v/>
      </c>
      <c r="AD71" s="2" t="str">
        <f t="shared" si="9"/>
        <v/>
      </c>
    </row>
    <row r="72" spans="1:30" x14ac:dyDescent="0.2">
      <c r="AC72" s="2" t="str">
        <f t="shared" si="9"/>
        <v/>
      </c>
      <c r="AD72" s="2" t="str">
        <f t="shared" si="9"/>
        <v/>
      </c>
    </row>
    <row r="73" spans="1:30" x14ac:dyDescent="0.2">
      <c r="AC73" s="2" t="str">
        <f t="shared" si="9"/>
        <v/>
      </c>
      <c r="AD73" s="2" t="str">
        <f t="shared" si="9"/>
        <v/>
      </c>
    </row>
    <row r="74" spans="1:30" x14ac:dyDescent="0.2">
      <c r="AC74" s="2" t="str">
        <f t="shared" si="9"/>
        <v/>
      </c>
      <c r="AD74" s="2" t="str">
        <f t="shared" si="9"/>
        <v/>
      </c>
    </row>
    <row r="75" spans="1:30" x14ac:dyDescent="0.2">
      <c r="AC75" s="2" t="str">
        <f t="shared" si="9"/>
        <v/>
      </c>
      <c r="AD75" s="2" t="str">
        <f t="shared" si="9"/>
        <v/>
      </c>
    </row>
    <row r="76" spans="1:30" x14ac:dyDescent="0.2">
      <c r="AC76" s="2" t="str">
        <f t="shared" si="9"/>
        <v/>
      </c>
      <c r="AD76" s="2" t="str">
        <f t="shared" si="9"/>
        <v/>
      </c>
    </row>
    <row r="77" spans="1:30" x14ac:dyDescent="0.2">
      <c r="AC77" s="2" t="str">
        <f t="shared" si="9"/>
        <v/>
      </c>
      <c r="AD77" s="2" t="str">
        <f t="shared" si="9"/>
        <v/>
      </c>
    </row>
    <row r="78" spans="1:30" x14ac:dyDescent="0.2">
      <c r="AC78" s="2" t="str">
        <f t="shared" si="9"/>
        <v/>
      </c>
      <c r="AD78" s="2" t="str">
        <f t="shared" si="9"/>
        <v/>
      </c>
    </row>
    <row r="79" spans="1:30" x14ac:dyDescent="0.2">
      <c r="AC79" s="2" t="str">
        <f t="shared" si="9"/>
        <v/>
      </c>
      <c r="AD79" s="2" t="str">
        <f t="shared" si="9"/>
        <v/>
      </c>
    </row>
    <row r="80" spans="1:30" x14ac:dyDescent="0.2">
      <c r="AC80" s="2" t="str">
        <f t="shared" si="9"/>
        <v/>
      </c>
      <c r="AD80" s="2" t="str">
        <f t="shared" si="9"/>
        <v/>
      </c>
    </row>
    <row r="81" spans="4:30" x14ac:dyDescent="0.2">
      <c r="AC81" s="2" t="str">
        <f t="shared" si="9"/>
        <v/>
      </c>
      <c r="AD81" s="2" t="str">
        <f t="shared" si="9"/>
        <v/>
      </c>
    </row>
    <row r="86" spans="4:30" x14ac:dyDescent="0.2">
      <c r="D86" t="str">
        <f>IF(A86&lt;&gt;"","Planned","")</f>
        <v/>
      </c>
    </row>
  </sheetData>
  <conditionalFormatting sqref="B33:C35 A34:A35 A15:AD26 A27:C32 D27:AD35 A36:AD80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3">
    <cfRule type="expression" dxfId="11" priority="122" stopIfTrue="1">
      <formula>$D34="Done"</formula>
    </cfRule>
    <cfRule type="expression" dxfId="10" priority="123" stopIfTrue="1">
      <formula>$D34="Ongoing"</formula>
    </cfRule>
  </conditionalFormatting>
  <dataValidations count="1">
    <dataValidation type="list" allowBlank="1" showInputMessage="1" sqref="D3:D8 D15:D8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2020-02-24T17:25:40Z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