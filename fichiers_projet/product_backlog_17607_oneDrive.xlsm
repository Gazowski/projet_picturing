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omments4.xml" ContentType="application/vnd.openxmlformats-officedocument.spreadsheetml.comments+xml"/>
  <Override PartName="/xl/charts/chart4.xml" ContentType="application/vnd.openxmlformats-officedocument.drawingml.chart+xml"/>
  <Override PartName="/xl/drawings/drawing5.xml" ContentType="application/vnd.openxmlformats-officedocument.drawing+xml"/>
  <Override PartName="/xl/comments5.xml" ContentType="application/vnd.openxmlformats-officedocument.spreadsheetml.comments+xml"/>
  <Override PartName="/xl/charts/chart5.xml" ContentType="application/vnd.openxmlformats-officedocument.drawingml.chart+xml"/>
  <Override PartName="/xl/drawings/drawing6.xml" ContentType="application/vnd.openxmlformats-officedocument.drawing+xml"/>
  <Override PartName="/xl/comments6.xml" ContentType="application/vnd.openxmlformats-officedocument.spreadsheetml.comments+xml"/>
  <Override PartName="/xl/charts/chart6.xml" ContentType="application/vnd.openxmlformats-officedocument.drawingml.chart+xml"/>
  <Override PartName="/xl/drawings/drawing7.xml" ContentType="application/vnd.openxmlformats-officedocument.drawing+xml"/>
  <Override PartName="/xl/comments7.xml" ContentType="application/vnd.openxmlformats-officedocument.spreadsheetml.comments+xml"/>
  <Override PartName="/xl/charts/chart7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wamp64\www\projet_picturing\fichiers_projet\"/>
    </mc:Choice>
  </mc:AlternateContent>
  <bookViews>
    <workbookView xWindow="-120" yWindow="-120" windowWidth="15600" windowHeight="11760" tabRatio="522" firstSheet="1" activeTab="5"/>
  </bookViews>
  <sheets>
    <sheet name="Release Plan" sheetId="7" r:id="rId1"/>
    <sheet name="Product Backlog" sheetId="8" r:id="rId2"/>
    <sheet name="PB Burndown" sheetId="20" r:id="rId3"/>
    <sheet name="Sp0" sheetId="24" r:id="rId4"/>
    <sheet name="Sp1" sheetId="19" r:id="rId5"/>
    <sheet name="Sp2" sheetId="22" r:id="rId6"/>
    <sheet name="Sp3" sheetId="23" r:id="rId7"/>
    <sheet name="Sprint Sheet Template" sheetId="16" r:id="rId8"/>
    <sheet name="Task Slips" sheetId="21" r:id="rId9"/>
  </sheets>
  <definedNames>
    <definedName name="AverageSpeedLastEight">OFFSET('PB Burndown'!$P$27,1,0,'PB Burndown'!$G$3,1)</definedName>
    <definedName name="AverageSpeedRealized">OFFSET('PB Burndown'!$O$27,1,0,'PB Burndown'!$G$3,1)</definedName>
    <definedName name="AverageSpeedWorstThree">OFFSET('PB Burndown'!$Q$27,1,0,'PB Burndown'!$G$3,1)</definedName>
    <definedName name="ColBottomCurrentScope">OFFSET('PB Burndown'!$I$27,1,0,'PB Burndown'!$G$3,1)</definedName>
    <definedName name="ColTopRemainingWork">OFFSET('PB Burndown'!$F$27,1,0,'PB Burndown'!$G$3,1)</definedName>
    <definedName name="DoneDays" localSheetId="3">Sp0!$D$11</definedName>
    <definedName name="DoneDays" localSheetId="4">'Sp1'!$D$11</definedName>
    <definedName name="DoneDays" localSheetId="5">'Sp2'!$D$11</definedName>
    <definedName name="DoneDays" localSheetId="6">'Sp3'!$D$11</definedName>
    <definedName name="DoneDays" localSheetId="7">'Sprint Sheet Template'!$D$11</definedName>
    <definedName name="DoneDays">#REF!</definedName>
    <definedName name="ImplementationDays" localSheetId="3">Sp0!$B$9</definedName>
    <definedName name="ImplementationDays" localSheetId="4">'Sp1'!$B$9</definedName>
    <definedName name="ImplementationDays" localSheetId="5">'Sp2'!$B$9</definedName>
    <definedName name="ImplementationDays" localSheetId="6">'Sp3'!$B$9</definedName>
    <definedName name="ImplementationDays" localSheetId="7">'Sprint Sheet Template'!$B$9</definedName>
    <definedName name="ImplementationDays">#REF!</definedName>
    <definedName name="LastEight">IF('PB Burndown'!$G$4&gt;8,OFFSET('PB Burndown'!$D$27,'PB Burndown'!$G$4-7,0,8,1),OFFSET('PB Burndown'!$D$27,1,0,'PB Burndown'!$G$4-1,1))</definedName>
    <definedName name="LastPlanned">IF(OFFSET('PB Burndown'!$B$27,1,0,1,1)="",1,OFFSET('PB Burndown'!$B$27,'PB Burndown'!$G$3,0,1,1))</definedName>
    <definedName name="LastRealized">IF(OFFSET('PB Burndown'!$D$27,1,0,1,1)="",1,OFFSET('PB Burndown'!$D$27,'PB Burndown'!$G$3,0,1,1))</definedName>
    <definedName name="PBCurrentBottom">OFFSET('PB Burndown'!$N$27,1,0,'PB Burndown'!$G$9,1)</definedName>
    <definedName name="PBTrend">OFFSET('PB Burndown'!$M$27,1,0,'PB Burndown'!$G$9,1)</definedName>
    <definedName name="PlannedSpeed">OFFSET('PB Burndown'!$C$27,1,0,'PB Burndown'!$G$3,1)</definedName>
    <definedName name="ProductBacklog">'Product Backlog'!$A$4:$G$164</definedName>
    <definedName name="RealizedSpeed">OFFSET('PB Burndown'!$D$27,1,0,'PB Burndown'!$G$3,1)</definedName>
    <definedName name="RealValues" localSheetId="3">OFFSET(Sp0!$F$10,0,0,1,Sp0!DoneDays)</definedName>
    <definedName name="RealValues" localSheetId="4">OFFSET('Sp1'!$F$10,0,0,1,'Sp1'!DoneDays)</definedName>
    <definedName name="RealValues" localSheetId="5">OFFSET('Sp2'!$F$10,0,0,1,'Sp2'!DoneDays)</definedName>
    <definedName name="RealValues" localSheetId="6">OFFSET('Sp3'!$F$10,0,0,1,'Sp3'!DoneDays)</definedName>
    <definedName name="RealValues" localSheetId="7">OFFSET('Sprint Sheet Template'!$F$10,0,0,1,'Sprint Sheet Template'!DoneDays)</definedName>
    <definedName name="Sprint">'Product Backlog'!$E$7:$E$164</definedName>
    <definedName name="SprintCount">'PB Burndown'!$G$3</definedName>
    <definedName name="SprintsInTrend">'PB Burndown'!$G$6</definedName>
    <definedName name="SprintTasks" localSheetId="3">Sp0!$A$14:$AD$63</definedName>
    <definedName name="SprintTasks" localSheetId="4">'Sp1'!$A$14:$AD$68</definedName>
    <definedName name="SprintTasks" localSheetId="5">'Sp2'!$A$14:$AD$98</definedName>
    <definedName name="SprintTasks" localSheetId="6">'Sp3'!$A$14:$AD$63</definedName>
    <definedName name="SprintTasks">'Sprint Sheet Template'!$A$14:$AD$63</definedName>
    <definedName name="Status">'Product Backlog'!$C$7:$C$164</definedName>
    <definedName name="StoryName">'Product Backlog'!$B$7:$B$164</definedName>
    <definedName name="TaskRows" localSheetId="3">Sp0!$B$11</definedName>
    <definedName name="TaskRows" localSheetId="4">'Sp1'!$B$11</definedName>
    <definedName name="TaskRows" localSheetId="5">'Sp2'!$B$11</definedName>
    <definedName name="TaskRows" localSheetId="6">'Sp3'!$B$11</definedName>
    <definedName name="TaskRows" localSheetId="7">'Sprint Sheet Template'!$B$11</definedName>
    <definedName name="TaskRows">#REF!</definedName>
    <definedName name="TaskStatus" localSheetId="3">Sp0!$D$14:$D$58</definedName>
    <definedName name="TaskStatus" localSheetId="4">'Sp1'!$D$14:$D$63</definedName>
    <definedName name="TaskStatus" localSheetId="5">'Sp2'!$D$14:$D$93</definedName>
    <definedName name="TaskStatus" localSheetId="6">'Sp3'!$D$14:$D$58</definedName>
    <definedName name="TaskStatus">'Sprint Sheet Template'!$D$14:$D$58</definedName>
    <definedName name="TaskStoryID" localSheetId="3">Sp0!$B$14:$B$53</definedName>
    <definedName name="TaskStoryID" localSheetId="4">'Sp1'!$B$14:$B$58</definedName>
    <definedName name="TaskStoryID" localSheetId="5">'Sp2'!$B$14:$B$88</definedName>
    <definedName name="TaskStoryID" localSheetId="6">'Sp3'!$B$14:$B$53</definedName>
    <definedName name="TaskStoryID">'Sprint Sheet Template'!$B$14:$B$53</definedName>
    <definedName name="TotalEffort" localSheetId="3">Sp0!$E$10</definedName>
    <definedName name="TotalEffort" localSheetId="4">'Sp1'!$E$10</definedName>
    <definedName name="TotalEffort" localSheetId="5">'Sp2'!$E$10</definedName>
    <definedName name="TotalEffort" localSheetId="6">'Sp3'!$E$10</definedName>
    <definedName name="TotalEffort" localSheetId="7">'Sprint Sheet Template'!$E$10</definedName>
    <definedName name="TotalEffort">#REF!</definedName>
    <definedName name="TrendDays" localSheetId="3">Sp0!$D$13</definedName>
    <definedName name="TrendDays" localSheetId="4">'Sp1'!$D$13</definedName>
    <definedName name="TrendDays" localSheetId="5">'Sp2'!$D$13</definedName>
    <definedName name="TrendDays" localSheetId="6">'Sp3'!$D$13</definedName>
    <definedName name="TrendDays">'Sprint Sheet Template'!$D$13</definedName>
    <definedName name="TrendOffset">'PB Burndown'!$G$5</definedName>
    <definedName name="TrendSprintCount">'PB Burndown'!$G$4</definedName>
    <definedName name="_xlnm.Print_Area" localSheetId="1">'Product Backlog'!$A:$G</definedName>
    <definedName name="_xlnm.Print_Area" localSheetId="8">'Task Slips'!#REF!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38" i="19" l="1"/>
  <c r="D64" i="24"/>
  <c r="F59" i="24"/>
  <c r="D59" i="24"/>
  <c r="F58" i="24"/>
  <c r="D58" i="24"/>
  <c r="F57" i="24"/>
  <c r="D57" i="24"/>
  <c r="F56" i="24"/>
  <c r="D56" i="24"/>
  <c r="F55" i="24"/>
  <c r="D55" i="24"/>
  <c r="F54" i="24"/>
  <c r="D54" i="24"/>
  <c r="F53" i="24"/>
  <c r="D53" i="24"/>
  <c r="F52" i="24"/>
  <c r="D52" i="24"/>
  <c r="F51" i="24"/>
  <c r="D51" i="24"/>
  <c r="F50" i="24"/>
  <c r="D50" i="24"/>
  <c r="F49" i="24"/>
  <c r="D49" i="24"/>
  <c r="F48" i="24"/>
  <c r="D48" i="24"/>
  <c r="F47" i="24"/>
  <c r="D47" i="24"/>
  <c r="F46" i="24"/>
  <c r="D46" i="24"/>
  <c r="F45" i="24"/>
  <c r="D45" i="24"/>
  <c r="F44" i="24"/>
  <c r="D44" i="24"/>
  <c r="F43" i="24"/>
  <c r="D43" i="24"/>
  <c r="F42" i="24"/>
  <c r="D42" i="24"/>
  <c r="F41" i="24"/>
  <c r="D41" i="24"/>
  <c r="F40" i="24"/>
  <c r="D40" i="24"/>
  <c r="F39" i="24"/>
  <c r="D39" i="24"/>
  <c r="F38" i="24"/>
  <c r="D38" i="24"/>
  <c r="F37" i="24"/>
  <c r="D37" i="24"/>
  <c r="F36" i="24"/>
  <c r="D36" i="24"/>
  <c r="F35" i="24"/>
  <c r="D35" i="24"/>
  <c r="F34" i="24"/>
  <c r="D34" i="24"/>
  <c r="F33" i="24"/>
  <c r="D33" i="24"/>
  <c r="F32" i="24"/>
  <c r="D32" i="24"/>
  <c r="F31" i="24"/>
  <c r="D31" i="24"/>
  <c r="F30" i="24"/>
  <c r="D30" i="24"/>
  <c r="F29" i="24"/>
  <c r="D29" i="24"/>
  <c r="F28" i="24"/>
  <c r="D28" i="24"/>
  <c r="F27" i="24"/>
  <c r="D27" i="24"/>
  <c r="F26" i="24"/>
  <c r="D26" i="24"/>
  <c r="F25" i="24"/>
  <c r="D25" i="24"/>
  <c r="F24" i="24"/>
  <c r="D24" i="24"/>
  <c r="F23" i="24"/>
  <c r="D23" i="24"/>
  <c r="F22" i="24"/>
  <c r="D22" i="24"/>
  <c r="F21" i="24"/>
  <c r="D21" i="24"/>
  <c r="F20" i="24"/>
  <c r="D20" i="24"/>
  <c r="F19" i="24"/>
  <c r="D19" i="24"/>
  <c r="G14" i="24"/>
  <c r="H14" i="24" s="1"/>
  <c r="G59" i="24"/>
  <c r="B11" i="24"/>
  <c r="B4" i="7"/>
  <c r="D64" i="23"/>
  <c r="F55" i="23"/>
  <c r="D55" i="23"/>
  <c r="F54" i="23"/>
  <c r="D54" i="23"/>
  <c r="F53" i="23"/>
  <c r="D53" i="23"/>
  <c r="F52" i="23"/>
  <c r="D52" i="23"/>
  <c r="F51" i="23"/>
  <c r="D51" i="23"/>
  <c r="F50" i="23"/>
  <c r="D50" i="23"/>
  <c r="F49" i="23"/>
  <c r="D49" i="23"/>
  <c r="F48" i="23"/>
  <c r="D48" i="23"/>
  <c r="F47" i="23"/>
  <c r="D47" i="23"/>
  <c r="F46" i="23"/>
  <c r="D46" i="23"/>
  <c r="F45" i="23"/>
  <c r="D45" i="23"/>
  <c r="F44" i="23"/>
  <c r="D44" i="23"/>
  <c r="F43" i="23"/>
  <c r="D43" i="23"/>
  <c r="F42" i="23"/>
  <c r="D42" i="23"/>
  <c r="F41" i="23"/>
  <c r="D41" i="23"/>
  <c r="F40" i="23"/>
  <c r="D40" i="23"/>
  <c r="F39" i="23"/>
  <c r="D39" i="23"/>
  <c r="F38" i="23"/>
  <c r="D38" i="23"/>
  <c r="F37" i="23"/>
  <c r="D37" i="23"/>
  <c r="F36" i="23"/>
  <c r="D36" i="23"/>
  <c r="F35" i="23"/>
  <c r="D35" i="23"/>
  <c r="F34" i="23"/>
  <c r="D34" i="23"/>
  <c r="F33" i="23"/>
  <c r="D33" i="23"/>
  <c r="F32" i="23"/>
  <c r="D32" i="23"/>
  <c r="F31" i="23"/>
  <c r="D31" i="23"/>
  <c r="F30" i="23"/>
  <c r="D30" i="23"/>
  <c r="F29" i="23"/>
  <c r="D29" i="23"/>
  <c r="F28" i="23"/>
  <c r="D28" i="23"/>
  <c r="F27" i="23"/>
  <c r="D27" i="23"/>
  <c r="F26" i="23"/>
  <c r="D26" i="23"/>
  <c r="F25" i="23"/>
  <c r="D25" i="23"/>
  <c r="F24" i="23"/>
  <c r="D24" i="23"/>
  <c r="F23" i="23"/>
  <c r="D23" i="23"/>
  <c r="F22" i="23"/>
  <c r="D22" i="23"/>
  <c r="F21" i="23"/>
  <c r="D21" i="23"/>
  <c r="F20" i="23"/>
  <c r="D20" i="23"/>
  <c r="F19" i="23"/>
  <c r="D19" i="23"/>
  <c r="F18" i="23"/>
  <c r="D18" i="23"/>
  <c r="F17" i="23"/>
  <c r="D17" i="23"/>
  <c r="F16" i="23"/>
  <c r="D16" i="23"/>
  <c r="F15" i="23"/>
  <c r="D15" i="23"/>
  <c r="F59" i="23"/>
  <c r="F58" i="23"/>
  <c r="F57" i="23"/>
  <c r="F56" i="23"/>
  <c r="G14" i="23"/>
  <c r="B11" i="23"/>
  <c r="K10" i="23"/>
  <c r="D99" i="22"/>
  <c r="F61" i="22"/>
  <c r="F59" i="22"/>
  <c r="G59" i="22" s="1"/>
  <c r="F58" i="22"/>
  <c r="F57" i="22"/>
  <c r="F56" i="22"/>
  <c r="D56" i="22"/>
  <c r="F45" i="22"/>
  <c r="F64" i="22"/>
  <c r="F63" i="22"/>
  <c r="G14" i="22"/>
  <c r="H14" i="22" s="1"/>
  <c r="B11" i="22"/>
  <c r="D3" i="20"/>
  <c r="G4" i="20"/>
  <c r="D10" i="20"/>
  <c r="E5" i="7"/>
  <c r="G14" i="19"/>
  <c r="F22" i="7"/>
  <c r="F23" i="7"/>
  <c r="F24" i="7"/>
  <c r="F25" i="7"/>
  <c r="F26" i="7"/>
  <c r="F27" i="7"/>
  <c r="F28" i="7"/>
  <c r="F29" i="7"/>
  <c r="F30" i="7"/>
  <c r="G17" i="20"/>
  <c r="A18" i="20"/>
  <c r="A8" i="20"/>
  <c r="H28" i="20"/>
  <c r="E31" i="7"/>
  <c r="B11" i="19"/>
  <c r="E10" i="19" s="1"/>
  <c r="G11" i="19" s="1"/>
  <c r="F15" i="19"/>
  <c r="F28" i="19"/>
  <c r="F33" i="19"/>
  <c r="D35" i="19"/>
  <c r="F35" i="19"/>
  <c r="D36" i="19"/>
  <c r="F36" i="19"/>
  <c r="D69" i="19"/>
  <c r="B11" i="16"/>
  <c r="K10" i="16"/>
  <c r="F15" i="16"/>
  <c r="F16" i="16"/>
  <c r="F17" i="16"/>
  <c r="F18" i="16"/>
  <c r="E10" i="7"/>
  <c r="E9" i="7"/>
  <c r="E8" i="7"/>
  <c r="E7" i="7"/>
  <c r="E6" i="7"/>
  <c r="B5" i="7"/>
  <c r="C5" i="7"/>
  <c r="C6" i="7"/>
  <c r="D6" i="7"/>
  <c r="C7" i="7"/>
  <c r="D7" i="7"/>
  <c r="C8" i="7"/>
  <c r="D8" i="7"/>
  <c r="C9" i="7"/>
  <c r="D9" i="7"/>
  <c r="C10" i="7"/>
  <c r="D10" i="7"/>
  <c r="G14" i="16"/>
  <c r="G58" i="16"/>
  <c r="AD10" i="16"/>
  <c r="D15" i="16"/>
  <c r="D16" i="16"/>
  <c r="D17" i="16"/>
  <c r="D18" i="16"/>
  <c r="D19" i="16"/>
  <c r="F19" i="16"/>
  <c r="D20" i="16"/>
  <c r="F20" i="16"/>
  <c r="D21" i="16"/>
  <c r="F21" i="16"/>
  <c r="D22" i="16"/>
  <c r="F22" i="16"/>
  <c r="D23" i="16"/>
  <c r="F23" i="16"/>
  <c r="D24" i="16"/>
  <c r="F24" i="16"/>
  <c r="D25" i="16"/>
  <c r="F25" i="16"/>
  <c r="D26" i="16"/>
  <c r="F26" i="16"/>
  <c r="D27" i="16"/>
  <c r="F27" i="16"/>
  <c r="D28" i="16"/>
  <c r="F28" i="16"/>
  <c r="D29" i="16"/>
  <c r="F29" i="16"/>
  <c r="D30" i="16"/>
  <c r="F30" i="16"/>
  <c r="D31" i="16"/>
  <c r="F31" i="16"/>
  <c r="D32" i="16"/>
  <c r="F32" i="16"/>
  <c r="D33" i="16"/>
  <c r="F33" i="16"/>
  <c r="D34" i="16"/>
  <c r="F34" i="16"/>
  <c r="D35" i="16"/>
  <c r="F35" i="16"/>
  <c r="D36" i="16"/>
  <c r="F36" i="16"/>
  <c r="D37" i="16"/>
  <c r="F37" i="16"/>
  <c r="D38" i="16"/>
  <c r="F38" i="16"/>
  <c r="D39" i="16"/>
  <c r="F39" i="16"/>
  <c r="D40" i="16"/>
  <c r="F40" i="16"/>
  <c r="D41" i="16"/>
  <c r="F41" i="16"/>
  <c r="D42" i="16"/>
  <c r="F42" i="16"/>
  <c r="D43" i="16"/>
  <c r="F43" i="16"/>
  <c r="D44" i="16"/>
  <c r="F44" i="16"/>
  <c r="D45" i="16"/>
  <c r="F45" i="16"/>
  <c r="D46" i="16"/>
  <c r="F46" i="16"/>
  <c r="D47" i="16"/>
  <c r="F47" i="16"/>
  <c r="D48" i="16"/>
  <c r="F48" i="16"/>
  <c r="D49" i="16"/>
  <c r="F49" i="16"/>
  <c r="D50" i="16"/>
  <c r="F50" i="16"/>
  <c r="D51" i="16"/>
  <c r="F51" i="16"/>
  <c r="D52" i="16"/>
  <c r="F52" i="16"/>
  <c r="D53" i="16"/>
  <c r="F53" i="16"/>
  <c r="D54" i="16"/>
  <c r="F54" i="16"/>
  <c r="D55" i="16"/>
  <c r="F55" i="16"/>
  <c r="D56" i="16"/>
  <c r="F56" i="16"/>
  <c r="D57" i="16"/>
  <c r="F57" i="16"/>
  <c r="D58" i="16"/>
  <c r="F58" i="16"/>
  <c r="D59" i="16"/>
  <c r="F59" i="16"/>
  <c r="D64" i="16"/>
  <c r="D8" i="20"/>
  <c r="D18" i="20" s="1"/>
  <c r="D11" i="20"/>
  <c r="Q50" i="20" s="1"/>
  <c r="Q41" i="20"/>
  <c r="N41" i="20"/>
  <c r="N38" i="20"/>
  <c r="G20" i="20"/>
  <c r="D9" i="20"/>
  <c r="O34" i="20" s="1"/>
  <c r="N42" i="20"/>
  <c r="N30" i="20"/>
  <c r="J10" i="23"/>
  <c r="W10" i="23"/>
  <c r="G59" i="16"/>
  <c r="N43" i="20"/>
  <c r="N34" i="20"/>
  <c r="Q10" i="16"/>
  <c r="G55" i="23"/>
  <c r="Q31" i="20"/>
  <c r="D17" i="20"/>
  <c r="D4" i="7"/>
  <c r="B22" i="7"/>
  <c r="B23" i="7"/>
  <c r="D23" i="7"/>
  <c r="E4" i="7"/>
  <c r="Q51" i="20"/>
  <c r="Q35" i="20"/>
  <c r="Q34" i="20"/>
  <c r="Q48" i="20"/>
  <c r="Q33" i="20"/>
  <c r="Q36" i="20"/>
  <c r="Q32" i="20"/>
  <c r="Q37" i="20"/>
  <c r="Q49" i="20"/>
  <c r="Q28" i="20"/>
  <c r="Q39" i="20"/>
  <c r="Q47" i="20"/>
  <c r="D22" i="7"/>
  <c r="N40" i="20"/>
  <c r="N35" i="20"/>
  <c r="N28" i="20"/>
  <c r="G5" i="20"/>
  <c r="N36" i="20"/>
  <c r="N45" i="20"/>
  <c r="N32" i="20"/>
  <c r="N47" i="20"/>
  <c r="N50" i="20"/>
  <c r="N44" i="20"/>
  <c r="N39" i="20"/>
  <c r="N51" i="20"/>
  <c r="N37" i="20"/>
  <c r="N48" i="20"/>
  <c r="N46" i="20"/>
  <c r="F10" i="23"/>
  <c r="O10" i="23"/>
  <c r="X10" i="23"/>
  <c r="G10" i="23"/>
  <c r="M10" i="23"/>
  <c r="E10" i="23"/>
  <c r="S10" i="23"/>
  <c r="I10" i="23"/>
  <c r="T10" i="23"/>
  <c r="L10" i="23"/>
  <c r="U10" i="23"/>
  <c r="H10" i="23"/>
  <c r="N10" i="23"/>
  <c r="AA10" i="23"/>
  <c r="Q10" i="23"/>
  <c r="AB10" i="23"/>
  <c r="P10" i="23"/>
  <c r="Y10" i="23"/>
  <c r="N33" i="20"/>
  <c r="Z10" i="23"/>
  <c r="R10" i="23"/>
  <c r="V10" i="23"/>
  <c r="N29" i="20"/>
  <c r="N49" i="20"/>
  <c r="N31" i="20"/>
  <c r="Q30" i="20"/>
  <c r="Q38" i="20"/>
  <c r="Q45" i="20"/>
  <c r="Q40" i="20"/>
  <c r="Q46" i="20"/>
  <c r="D21" i="20"/>
  <c r="Q43" i="20"/>
  <c r="H14" i="16"/>
  <c r="D15" i="20"/>
  <c r="D16" i="20"/>
  <c r="B28" i="20"/>
  <c r="E28" i="20"/>
  <c r="G54" i="23"/>
  <c r="H14" i="23"/>
  <c r="H55" i="23"/>
  <c r="F28" i="20"/>
  <c r="B29" i="20"/>
  <c r="I14" i="16"/>
  <c r="I59" i="16"/>
  <c r="K28" i="20"/>
  <c r="G28" i="20"/>
  <c r="W10" i="16"/>
  <c r="H10" i="16"/>
  <c r="D5" i="7"/>
  <c r="I14" i="23"/>
  <c r="A22" i="7"/>
  <c r="E22" i="7"/>
  <c r="E10" i="16"/>
  <c r="I11" i="16" s="1"/>
  <c r="S10" i="16"/>
  <c r="V10" i="16"/>
  <c r="AA10" i="16"/>
  <c r="L10" i="16"/>
  <c r="M10" i="16"/>
  <c r="O10" i="16"/>
  <c r="R10" i="16"/>
  <c r="X10" i="16"/>
  <c r="A23" i="7"/>
  <c r="E23" i="7"/>
  <c r="B24" i="7"/>
  <c r="I55" i="23"/>
  <c r="A24" i="7"/>
  <c r="E24" i="7"/>
  <c r="P49" i="20"/>
  <c r="P48" i="20"/>
  <c r="P46" i="20"/>
  <c r="P29" i="20"/>
  <c r="P42" i="20"/>
  <c r="P32" i="20"/>
  <c r="P31" i="20"/>
  <c r="P34" i="20"/>
  <c r="P37" i="20"/>
  <c r="P41" i="20"/>
  <c r="P44" i="20"/>
  <c r="P40" i="20"/>
  <c r="P43" i="20"/>
  <c r="P50" i="20"/>
  <c r="P36" i="20"/>
  <c r="P39" i="20"/>
  <c r="P33" i="20"/>
  <c r="D20" i="20"/>
  <c r="P38" i="20"/>
  <c r="P35" i="20"/>
  <c r="P51" i="20"/>
  <c r="P28" i="20"/>
  <c r="P30" i="20"/>
  <c r="P47" i="20"/>
  <c r="P45" i="20"/>
  <c r="J14" i="23"/>
  <c r="I54" i="23"/>
  <c r="J14" i="16"/>
  <c r="I58" i="16"/>
  <c r="H58" i="16"/>
  <c r="H59" i="16"/>
  <c r="B25" i="7"/>
  <c r="D24" i="7"/>
  <c r="F29" i="20"/>
  <c r="E29" i="20"/>
  <c r="I29" i="20"/>
  <c r="H29" i="20"/>
  <c r="B30" i="20"/>
  <c r="G36" i="19"/>
  <c r="H14" i="19"/>
  <c r="G37" i="19"/>
  <c r="H54" i="23"/>
  <c r="G6" i="20"/>
  <c r="F10" i="16"/>
  <c r="T10" i="16"/>
  <c r="N10" i="16"/>
  <c r="G10" i="16"/>
  <c r="AB10" i="16"/>
  <c r="J10" i="16"/>
  <c r="Z10" i="16"/>
  <c r="AC10" i="16"/>
  <c r="P10" i="16"/>
  <c r="Y10" i="16"/>
  <c r="U10" i="16"/>
  <c r="I10" i="16"/>
  <c r="Q42" i="20"/>
  <c r="Q29" i="20"/>
  <c r="K29" i="20"/>
  <c r="G29" i="20"/>
  <c r="K14" i="16"/>
  <c r="J58" i="16"/>
  <c r="J59" i="16"/>
  <c r="I14" i="19"/>
  <c r="J14" i="19" s="1"/>
  <c r="F30" i="20"/>
  <c r="I30" i="20"/>
  <c r="H30" i="20"/>
  <c r="B31" i="20"/>
  <c r="E30" i="20"/>
  <c r="K14" i="23"/>
  <c r="J55" i="23"/>
  <c r="J54" i="23"/>
  <c r="B26" i="7"/>
  <c r="A25" i="7"/>
  <c r="E25" i="7"/>
  <c r="D25" i="7"/>
  <c r="K11" i="23"/>
  <c r="L14" i="23"/>
  <c r="K54" i="23"/>
  <c r="K55" i="23"/>
  <c r="E31" i="20"/>
  <c r="I31" i="20"/>
  <c r="H31" i="20"/>
  <c r="F31" i="20"/>
  <c r="B32" i="20"/>
  <c r="K11" i="16"/>
  <c r="K58" i="16"/>
  <c r="K59" i="16"/>
  <c r="L14" i="16"/>
  <c r="B27" i="7"/>
  <c r="D26" i="7"/>
  <c r="A26" i="7"/>
  <c r="E26" i="7"/>
  <c r="G30" i="20"/>
  <c r="K30" i="20"/>
  <c r="L11" i="16"/>
  <c r="L59" i="16"/>
  <c r="M14" i="16"/>
  <c r="L58" i="16"/>
  <c r="F32" i="20"/>
  <c r="E32" i="20"/>
  <c r="B33" i="20"/>
  <c r="I32" i="20"/>
  <c r="H32" i="20"/>
  <c r="G31" i="20"/>
  <c r="K31" i="20"/>
  <c r="D27" i="7"/>
  <c r="A27" i="7"/>
  <c r="E27" i="7"/>
  <c r="B28" i="7"/>
  <c r="L54" i="23"/>
  <c r="M14" i="23"/>
  <c r="L11" i="23"/>
  <c r="L55" i="23"/>
  <c r="E33" i="20"/>
  <c r="B34" i="20"/>
  <c r="I33" i="20"/>
  <c r="H33" i="20"/>
  <c r="F33" i="20"/>
  <c r="D28" i="7"/>
  <c r="A28" i="7"/>
  <c r="E28" i="7"/>
  <c r="B29" i="7"/>
  <c r="K32" i="20"/>
  <c r="G32" i="20"/>
  <c r="N14" i="23"/>
  <c r="M55" i="23"/>
  <c r="M54" i="23"/>
  <c r="M11" i="23"/>
  <c r="M58" i="16"/>
  <c r="M11" i="16"/>
  <c r="N14" i="16"/>
  <c r="M59" i="16"/>
  <c r="D29" i="7"/>
  <c r="B30" i="7"/>
  <c r="A29" i="7"/>
  <c r="E29" i="7"/>
  <c r="N58" i="16"/>
  <c r="N11" i="16"/>
  <c r="O14" i="16"/>
  <c r="N59" i="16"/>
  <c r="G33" i="20"/>
  <c r="K33" i="20"/>
  <c r="N11" i="23"/>
  <c r="N55" i="23"/>
  <c r="O14" i="23"/>
  <c r="N54" i="23"/>
  <c r="B35" i="20"/>
  <c r="I34" i="20"/>
  <c r="H34" i="20"/>
  <c r="E34" i="20"/>
  <c r="F34" i="20"/>
  <c r="P14" i="23"/>
  <c r="O55" i="23"/>
  <c r="O11" i="23"/>
  <c r="O54" i="23"/>
  <c r="G34" i="20"/>
  <c r="K34" i="20"/>
  <c r="E35" i="20"/>
  <c r="B36" i="20"/>
  <c r="I35" i="20"/>
  <c r="H35" i="20"/>
  <c r="F35" i="20"/>
  <c r="O11" i="16"/>
  <c r="O59" i="16"/>
  <c r="P14" i="16"/>
  <c r="O58" i="16"/>
  <c r="A30" i="7"/>
  <c r="E30" i="7"/>
  <c r="D30" i="7"/>
  <c r="G35" i="20"/>
  <c r="K35" i="20"/>
  <c r="B37" i="20"/>
  <c r="E36" i="20"/>
  <c r="F36" i="20"/>
  <c r="I36" i="20"/>
  <c r="H36" i="20"/>
  <c r="Q14" i="16"/>
  <c r="P11" i="16"/>
  <c r="P58" i="16"/>
  <c r="P59" i="16"/>
  <c r="P11" i="23"/>
  <c r="Q14" i="23"/>
  <c r="P54" i="23"/>
  <c r="P55" i="23"/>
  <c r="Q11" i="23"/>
  <c r="R14" i="23"/>
  <c r="Q55" i="23"/>
  <c r="Q54" i="23"/>
  <c r="Q59" i="16"/>
  <c r="R14" i="16"/>
  <c r="Q11" i="16"/>
  <c r="Q58" i="16"/>
  <c r="E37" i="20"/>
  <c r="F37" i="20"/>
  <c r="B38" i="20"/>
  <c r="I37" i="20"/>
  <c r="H37" i="20"/>
  <c r="G36" i="20"/>
  <c r="K36" i="20"/>
  <c r="R11" i="16"/>
  <c r="S14" i="16"/>
  <c r="R59" i="16"/>
  <c r="R58" i="16"/>
  <c r="K37" i="20"/>
  <c r="G37" i="20"/>
  <c r="R55" i="23"/>
  <c r="R11" i="23"/>
  <c r="R54" i="23"/>
  <c r="S14" i="23"/>
  <c r="B39" i="20"/>
  <c r="E38" i="20"/>
  <c r="I38" i="20"/>
  <c r="H38" i="20"/>
  <c r="F38" i="20"/>
  <c r="G38" i="20"/>
  <c r="K38" i="20"/>
  <c r="S55" i="23"/>
  <c r="S11" i="23"/>
  <c r="S54" i="23"/>
  <c r="T14" i="23"/>
  <c r="T14" i="16"/>
  <c r="S58" i="16"/>
  <c r="S11" i="16"/>
  <c r="S59" i="16"/>
  <c r="B40" i="20"/>
  <c r="E39" i="20"/>
  <c r="F39" i="20"/>
  <c r="I39" i="20"/>
  <c r="H39" i="20"/>
  <c r="G3" i="20"/>
  <c r="G19" i="20"/>
  <c r="E40" i="20"/>
  <c r="F40" i="20"/>
  <c r="I40" i="20"/>
  <c r="H40" i="20"/>
  <c r="B41" i="20"/>
  <c r="T59" i="16"/>
  <c r="T11" i="16"/>
  <c r="T58" i="16"/>
  <c r="U14" i="16"/>
  <c r="T55" i="23"/>
  <c r="T54" i="23"/>
  <c r="U14" i="23"/>
  <c r="T11" i="23"/>
  <c r="K39" i="20"/>
  <c r="G39" i="20"/>
  <c r="F41" i="20"/>
  <c r="I41" i="20"/>
  <c r="H41" i="20"/>
  <c r="B42" i="20"/>
  <c r="E41" i="20"/>
  <c r="K40" i="20"/>
  <c r="G40" i="20"/>
  <c r="U54" i="23"/>
  <c r="U11" i="23"/>
  <c r="U55" i="23"/>
  <c r="V14" i="23"/>
  <c r="V14" i="16"/>
  <c r="U58" i="16"/>
  <c r="U11" i="16"/>
  <c r="U59" i="16"/>
  <c r="E42" i="20"/>
  <c r="F42" i="20"/>
  <c r="I42" i="20"/>
  <c r="H42" i="20"/>
  <c r="B43" i="20"/>
  <c r="G41" i="20"/>
  <c r="K41" i="20"/>
  <c r="V11" i="23"/>
  <c r="V54" i="23"/>
  <c r="V55" i="23"/>
  <c r="W14" i="23"/>
  <c r="V58" i="16"/>
  <c r="V59" i="16"/>
  <c r="W14" i="16"/>
  <c r="V11" i="16"/>
  <c r="W58" i="16"/>
  <c r="W59" i="16"/>
  <c r="W11" i="16"/>
  <c r="X14" i="16"/>
  <c r="I43" i="20"/>
  <c r="H43" i="20"/>
  <c r="B44" i="20"/>
  <c r="F43" i="20"/>
  <c r="E43" i="20"/>
  <c r="W54" i="23"/>
  <c r="W11" i="23"/>
  <c r="W55" i="23"/>
  <c r="X14" i="23"/>
  <c r="G42" i="20"/>
  <c r="K42" i="20"/>
  <c r="X58" i="16"/>
  <c r="Y14" i="16"/>
  <c r="X11" i="16"/>
  <c r="X59" i="16"/>
  <c r="Y14" i="23"/>
  <c r="X11" i="23"/>
  <c r="X54" i="23"/>
  <c r="X55" i="23"/>
  <c r="G43" i="20"/>
  <c r="K43" i="20"/>
  <c r="E44" i="20"/>
  <c r="F44" i="20"/>
  <c r="I44" i="20"/>
  <c r="H44" i="20"/>
  <c r="B45" i="20"/>
  <c r="Y54" i="23"/>
  <c r="Y55" i="23"/>
  <c r="Y11" i="23"/>
  <c r="Z14" i="23"/>
  <c r="Z14" i="16"/>
  <c r="Y11" i="16"/>
  <c r="Y58" i="16"/>
  <c r="Y59" i="16"/>
  <c r="F45" i="20"/>
  <c r="E45" i="20"/>
  <c r="I45" i="20"/>
  <c r="H45" i="20"/>
  <c r="B46" i="20"/>
  <c r="K44" i="20"/>
  <c r="G44" i="20"/>
  <c r="I46" i="20"/>
  <c r="H46" i="20"/>
  <c r="B47" i="20"/>
  <c r="E46" i="20"/>
  <c r="F46" i="20"/>
  <c r="K45" i="20"/>
  <c r="G45" i="20"/>
  <c r="Z58" i="16"/>
  <c r="Z11" i="16"/>
  <c r="Z59" i="16"/>
  <c r="AA14" i="16"/>
  <c r="Z54" i="23"/>
  <c r="AA14" i="23"/>
  <c r="Z55" i="23"/>
  <c r="Z11" i="23"/>
  <c r="E47" i="20"/>
  <c r="F47" i="20"/>
  <c r="I47" i="20"/>
  <c r="H47" i="20"/>
  <c r="B48" i="20"/>
  <c r="AA55" i="23"/>
  <c r="AB14" i="23"/>
  <c r="AA11" i="23"/>
  <c r="AA54" i="23"/>
  <c r="AB14" i="16"/>
  <c r="AA58" i="16"/>
  <c r="AA59" i="16"/>
  <c r="AA11" i="16"/>
  <c r="K46" i="20"/>
  <c r="G46" i="20"/>
  <c r="AC14" i="16"/>
  <c r="AB59" i="16"/>
  <c r="AB58" i="16"/>
  <c r="AB11" i="16"/>
  <c r="B49" i="20"/>
  <c r="E48" i="20"/>
  <c r="F48" i="20"/>
  <c r="I48" i="20"/>
  <c r="H48" i="20"/>
  <c r="AC14" i="23"/>
  <c r="AB11" i="23"/>
  <c r="AB55" i="23"/>
  <c r="AB54" i="23"/>
  <c r="G47" i="20"/>
  <c r="K47" i="20"/>
  <c r="AC59" i="23"/>
  <c r="AC54" i="23"/>
  <c r="AC34" i="23"/>
  <c r="AC53" i="23"/>
  <c r="AC45" i="23"/>
  <c r="AC41" i="23"/>
  <c r="AC49" i="23"/>
  <c r="AC57" i="23"/>
  <c r="AC52" i="23"/>
  <c r="AC30" i="23"/>
  <c r="AC23" i="23"/>
  <c r="AC15" i="23"/>
  <c r="AC10" i="23"/>
  <c r="AC11" i="23"/>
  <c r="AC35" i="23"/>
  <c r="AC55" i="23"/>
  <c r="AC19" i="23"/>
  <c r="AC39" i="23"/>
  <c r="AC20" i="23"/>
  <c r="AC26" i="23"/>
  <c r="AC36" i="23"/>
  <c r="AC48" i="23"/>
  <c r="AC31" i="23"/>
  <c r="AC46" i="23"/>
  <c r="AC29" i="23"/>
  <c r="AC32" i="23"/>
  <c r="AC21" i="23"/>
  <c r="AC22" i="23"/>
  <c r="AC38" i="23"/>
  <c r="AC28" i="23"/>
  <c r="AC42" i="23"/>
  <c r="AC16" i="23"/>
  <c r="AC24" i="23"/>
  <c r="AC18" i="23"/>
  <c r="AC37" i="23"/>
  <c r="AC58" i="23"/>
  <c r="AC47" i="23"/>
  <c r="AC33" i="23"/>
  <c r="AC43" i="23"/>
  <c r="AD14" i="23"/>
  <c r="AC44" i="23"/>
  <c r="AC51" i="23"/>
  <c r="AC40" i="23"/>
  <c r="AC27" i="23"/>
  <c r="AC50" i="23"/>
  <c r="AC17" i="23"/>
  <c r="AC25" i="23"/>
  <c r="AC22" i="16"/>
  <c r="AC58" i="16"/>
  <c r="AC36" i="16"/>
  <c r="AC20" i="16"/>
  <c r="AC40" i="16"/>
  <c r="AC43" i="16"/>
  <c r="AC55" i="16"/>
  <c r="AC18" i="16"/>
  <c r="AC59" i="16"/>
  <c r="AD14" i="16"/>
  <c r="AC31" i="16"/>
  <c r="AC37" i="16"/>
  <c r="AC23" i="16"/>
  <c r="AC34" i="16"/>
  <c r="AC16" i="16"/>
  <c r="AC45" i="16"/>
  <c r="AC30" i="16"/>
  <c r="AC28" i="16"/>
  <c r="AC56" i="16"/>
  <c r="AC54" i="16"/>
  <c r="AC53" i="16"/>
  <c r="AC57" i="16"/>
  <c r="AC41" i="16"/>
  <c r="AC46" i="16"/>
  <c r="AC39" i="16"/>
  <c r="AC25" i="16"/>
  <c r="AC50" i="16"/>
  <c r="AC17" i="16"/>
  <c r="AC38" i="16"/>
  <c r="AC35" i="16"/>
  <c r="AC21" i="16"/>
  <c r="AC27" i="16"/>
  <c r="AC51" i="16"/>
  <c r="AC32" i="16"/>
  <c r="AC11" i="16"/>
  <c r="AC26" i="16"/>
  <c r="AC29" i="16"/>
  <c r="AC33" i="16"/>
  <c r="AC48" i="16"/>
  <c r="AC42" i="16"/>
  <c r="AC44" i="16"/>
  <c r="AC19" i="16"/>
  <c r="AC49" i="16"/>
  <c r="AC52" i="16"/>
  <c r="AC47" i="16"/>
  <c r="AC24" i="16"/>
  <c r="K48" i="20"/>
  <c r="G48" i="20"/>
  <c r="F49" i="20"/>
  <c r="E49" i="20"/>
  <c r="B50" i="20"/>
  <c r="I49" i="20"/>
  <c r="H49" i="20"/>
  <c r="F50" i="20"/>
  <c r="E50" i="20"/>
  <c r="I50" i="20"/>
  <c r="H50" i="20"/>
  <c r="B51" i="20"/>
  <c r="AD26" i="16"/>
  <c r="AD50" i="16"/>
  <c r="AD47" i="16"/>
  <c r="AD52" i="16"/>
  <c r="AD22" i="16"/>
  <c r="AD49" i="16"/>
  <c r="AD20" i="16"/>
  <c r="AD34" i="16"/>
  <c r="AD58" i="16"/>
  <c r="AD48" i="16"/>
  <c r="AD56" i="16"/>
  <c r="AD54" i="16"/>
  <c r="AD19" i="16"/>
  <c r="AD43" i="16"/>
  <c r="AD35" i="16"/>
  <c r="AD33" i="16"/>
  <c r="AD37" i="16"/>
  <c r="AD25" i="16"/>
  <c r="AD16" i="16"/>
  <c r="AD53" i="16"/>
  <c r="AD42" i="16"/>
  <c r="AD17" i="16"/>
  <c r="AD55" i="16"/>
  <c r="AD59" i="16"/>
  <c r="AD32" i="16"/>
  <c r="AD46" i="16"/>
  <c r="AD51" i="16"/>
  <c r="AD36" i="16"/>
  <c r="AD27" i="16"/>
  <c r="AD28" i="16"/>
  <c r="AD38" i="16"/>
  <c r="AD30" i="16"/>
  <c r="AD29" i="16"/>
  <c r="AD23" i="16"/>
  <c r="AD31" i="16"/>
  <c r="AD40" i="16"/>
  <c r="AD45" i="16"/>
  <c r="AD24" i="16"/>
  <c r="AD39" i="16"/>
  <c r="AD57" i="16"/>
  <c r="AD21" i="16"/>
  <c r="AD41" i="16"/>
  <c r="AD44" i="16"/>
  <c r="AD18" i="16"/>
  <c r="AD11" i="16"/>
  <c r="K49" i="20"/>
  <c r="G49" i="20"/>
  <c r="AD22" i="23"/>
  <c r="AD19" i="23"/>
  <c r="AD23" i="23"/>
  <c r="AD57" i="23"/>
  <c r="AD30" i="23"/>
  <c r="AD42" i="23"/>
  <c r="AD28" i="23"/>
  <c r="AD40" i="23"/>
  <c r="AD35" i="23"/>
  <c r="AD43" i="23"/>
  <c r="AD33" i="23"/>
  <c r="AD17" i="23"/>
  <c r="AD58" i="23"/>
  <c r="AD34" i="23"/>
  <c r="AD59" i="23"/>
  <c r="AD39" i="23"/>
  <c r="AD55" i="23"/>
  <c r="AD18" i="23"/>
  <c r="AD24" i="23"/>
  <c r="AD26" i="23"/>
  <c r="AD29" i="23"/>
  <c r="AD21" i="23"/>
  <c r="AD16" i="23"/>
  <c r="AD25" i="23"/>
  <c r="AD52" i="23"/>
  <c r="AD20" i="23"/>
  <c r="AD37" i="23"/>
  <c r="AD27" i="23"/>
  <c r="AD44" i="23"/>
  <c r="AD47" i="23"/>
  <c r="AD46" i="23"/>
  <c r="AD50" i="23"/>
  <c r="AD11" i="23"/>
  <c r="AD54" i="23"/>
  <c r="AD36" i="23"/>
  <c r="AD53" i="23"/>
  <c r="AD48" i="23"/>
  <c r="AD51" i="23"/>
  <c r="AD38" i="23"/>
  <c r="AD45" i="23"/>
  <c r="AD31" i="23"/>
  <c r="AD41" i="23"/>
  <c r="AD49" i="23"/>
  <c r="AD32" i="23"/>
  <c r="AD15" i="23"/>
  <c r="AD10" i="23"/>
  <c r="I51" i="20"/>
  <c r="H51" i="20"/>
  <c r="E51" i="20"/>
  <c r="F51" i="20"/>
  <c r="K50" i="20"/>
  <c r="G50" i="20"/>
  <c r="G51" i="20"/>
  <c r="K51" i="20"/>
  <c r="P10" i="24"/>
  <c r="G10" i="24"/>
  <c r="T10" i="24"/>
  <c r="O10" i="24"/>
  <c r="H10" i="24"/>
  <c r="X10" i="24"/>
  <c r="L10" i="24"/>
  <c r="W10" i="24"/>
  <c r="K10" i="24"/>
  <c r="S10" i="24"/>
  <c r="AB10" i="24"/>
  <c r="AA10" i="24"/>
  <c r="E10" i="24"/>
  <c r="H11" i="24" s="1"/>
  <c r="I10" i="24"/>
  <c r="M10" i="24"/>
  <c r="Q10" i="24"/>
  <c r="U10" i="24"/>
  <c r="Y10" i="24"/>
  <c r="G58" i="24"/>
  <c r="F10" i="24"/>
  <c r="J10" i="24"/>
  <c r="N10" i="24"/>
  <c r="R10" i="24"/>
  <c r="V10" i="24"/>
  <c r="Z10" i="24"/>
  <c r="H36" i="19"/>
  <c r="I36" i="19"/>
  <c r="I11" i="23" l="1"/>
  <c r="F10" i="19"/>
  <c r="G10" i="19"/>
  <c r="E10" i="22"/>
  <c r="F11" i="22" s="1"/>
  <c r="F10" i="22"/>
  <c r="I14" i="22"/>
  <c r="H61" i="22"/>
  <c r="H59" i="22"/>
  <c r="G61" i="22"/>
  <c r="H37" i="19"/>
  <c r="I37" i="19" s="1"/>
  <c r="H10" i="19"/>
  <c r="I10" i="19"/>
  <c r="G11" i="24"/>
  <c r="F11" i="24"/>
  <c r="O40" i="20"/>
  <c r="O39" i="20"/>
  <c r="O33" i="20"/>
  <c r="O38" i="20"/>
  <c r="O46" i="20"/>
  <c r="O48" i="20"/>
  <c r="J37" i="19"/>
  <c r="K14" i="19"/>
  <c r="J36" i="19"/>
  <c r="J10" i="19" s="1"/>
  <c r="G11" i="23"/>
  <c r="K11" i="19"/>
  <c r="D11" i="16"/>
  <c r="D13" i="16" s="1"/>
  <c r="J11" i="16"/>
  <c r="H11" i="16"/>
  <c r="G11" i="16"/>
  <c r="F11" i="16"/>
  <c r="D11" i="23"/>
  <c r="F13" i="23" s="1"/>
  <c r="O49" i="20"/>
  <c r="J11" i="23"/>
  <c r="F11" i="23"/>
  <c r="D24" i="20"/>
  <c r="O51" i="20"/>
  <c r="O30" i="20"/>
  <c r="O50" i="20"/>
  <c r="O45" i="20"/>
  <c r="D23" i="20"/>
  <c r="O47" i="20"/>
  <c r="O32" i="20"/>
  <c r="O43" i="20"/>
  <c r="O44" i="20"/>
  <c r="O41" i="20"/>
  <c r="O35" i="20"/>
  <c r="O37" i="20"/>
  <c r="O42" i="20"/>
  <c r="O28" i="20"/>
  <c r="O36" i="20"/>
  <c r="O31" i="20"/>
  <c r="O29" i="20"/>
  <c r="D19" i="20"/>
  <c r="H11" i="23"/>
  <c r="H11" i="19"/>
  <c r="Q44" i="20"/>
  <c r="I11" i="19"/>
  <c r="J11" i="19"/>
  <c r="F11" i="19"/>
  <c r="L36" i="20"/>
  <c r="L45" i="20"/>
  <c r="L32" i="20"/>
  <c r="L47" i="20"/>
  <c r="L50" i="20"/>
  <c r="L44" i="20"/>
  <c r="L39" i="20"/>
  <c r="L51" i="20"/>
  <c r="L37" i="20"/>
  <c r="L48" i="20"/>
  <c r="L46" i="20"/>
  <c r="L33" i="20"/>
  <c r="L29" i="20"/>
  <c r="L49" i="20"/>
  <c r="L31" i="20"/>
  <c r="L41" i="20"/>
  <c r="L38" i="20"/>
  <c r="L42" i="20"/>
  <c r="L30" i="20"/>
  <c r="L43" i="20"/>
  <c r="L34" i="20"/>
  <c r="L40" i="20"/>
  <c r="L35" i="20"/>
  <c r="L28" i="20"/>
  <c r="M28" i="20" s="1"/>
  <c r="H59" i="24"/>
  <c r="I14" i="24"/>
  <c r="H58" i="24"/>
  <c r="I59" i="22" l="1"/>
  <c r="M37" i="20"/>
  <c r="G11" i="22"/>
  <c r="I11" i="22"/>
  <c r="H11" i="22"/>
  <c r="J14" i="22"/>
  <c r="I61" i="22"/>
  <c r="H10" i="22"/>
  <c r="G10" i="22"/>
  <c r="F13" i="16"/>
  <c r="H12" i="16" s="1"/>
  <c r="M38" i="20"/>
  <c r="L14" i="19"/>
  <c r="K37" i="19"/>
  <c r="K36" i="19"/>
  <c r="D13" i="23"/>
  <c r="Y12" i="23" s="1"/>
  <c r="M33" i="20"/>
  <c r="M40" i="20"/>
  <c r="M49" i="20"/>
  <c r="M42" i="20"/>
  <c r="M48" i="20"/>
  <c r="M34" i="20"/>
  <c r="M43" i="20"/>
  <c r="M51" i="20"/>
  <c r="M35" i="20"/>
  <c r="M30" i="20"/>
  <c r="M46" i="20"/>
  <c r="J14" i="24"/>
  <c r="I58" i="24"/>
  <c r="I59" i="24"/>
  <c r="I11" i="24"/>
  <c r="M41" i="20"/>
  <c r="M31" i="20"/>
  <c r="M29" i="20"/>
  <c r="M39" i="20"/>
  <c r="M44" i="20"/>
  <c r="M50" i="20"/>
  <c r="M47" i="20"/>
  <c r="M32" i="20"/>
  <c r="M45" i="20"/>
  <c r="M36" i="20"/>
  <c r="J59" i="22" l="1"/>
  <c r="J61" i="22"/>
  <c r="K14" i="22"/>
  <c r="J11" i="22"/>
  <c r="R12" i="16"/>
  <c r="T12" i="16"/>
  <c r="G12" i="16"/>
  <c r="O12" i="16"/>
  <c r="I12" i="16"/>
  <c r="V12" i="16"/>
  <c r="U12" i="16"/>
  <c r="Q12" i="16"/>
  <c r="M12" i="16"/>
  <c r="J10" i="22"/>
  <c r="I10" i="22"/>
  <c r="Y12" i="16"/>
  <c r="AB12" i="16"/>
  <c r="L12" i="16"/>
  <c r="K10" i="19"/>
  <c r="K12" i="16"/>
  <c r="J12" i="16"/>
  <c r="AA12" i="16"/>
  <c r="F12" i="16"/>
  <c r="AD12" i="16"/>
  <c r="AC12" i="16"/>
  <c r="X12" i="16"/>
  <c r="S12" i="16"/>
  <c r="N12" i="16"/>
  <c r="P12" i="16"/>
  <c r="W12" i="16"/>
  <c r="Z12" i="16"/>
  <c r="X12" i="23"/>
  <c r="H12" i="23"/>
  <c r="N12" i="23"/>
  <c r="I12" i="23"/>
  <c r="K12" i="23"/>
  <c r="O12" i="23"/>
  <c r="L37" i="19"/>
  <c r="L36" i="19"/>
  <c r="M14" i="19"/>
  <c r="L11" i="19"/>
  <c r="P12" i="23"/>
  <c r="AB12" i="23"/>
  <c r="F12" i="23"/>
  <c r="R12" i="23"/>
  <c r="AA12" i="23"/>
  <c r="M12" i="23"/>
  <c r="J12" i="23"/>
  <c r="AC12" i="23"/>
  <c r="L12" i="23"/>
  <c r="Z12" i="23"/>
  <c r="AD12" i="23"/>
  <c r="G12" i="23"/>
  <c r="Q12" i="23"/>
  <c r="W12" i="23"/>
  <c r="V12" i="23"/>
  <c r="T12" i="23"/>
  <c r="U12" i="23"/>
  <c r="S12" i="23"/>
  <c r="D12" i="20"/>
  <c r="G9" i="20"/>
  <c r="D22" i="20"/>
  <c r="J58" i="24"/>
  <c r="J59" i="24"/>
  <c r="K14" i="24"/>
  <c r="J11" i="24"/>
  <c r="K11" i="22" l="1"/>
  <c r="L14" i="22"/>
  <c r="K61" i="22"/>
  <c r="K59" i="22"/>
  <c r="K10" i="22" s="1"/>
  <c r="L10" i="19"/>
  <c r="M11" i="19"/>
  <c r="N14" i="19"/>
  <c r="M37" i="19"/>
  <c r="M36" i="19"/>
  <c r="M10" i="19" s="1"/>
  <c r="K59" i="24"/>
  <c r="L14" i="24"/>
  <c r="K11" i="24"/>
  <c r="K58" i="24"/>
  <c r="L11" i="22" l="1"/>
  <c r="L61" i="22"/>
  <c r="L10" i="22" s="1"/>
  <c r="M14" i="22"/>
  <c r="N37" i="19"/>
  <c r="O14" i="19"/>
  <c r="N36" i="19"/>
  <c r="N11" i="19"/>
  <c r="M14" i="24"/>
  <c r="L11" i="24"/>
  <c r="L58" i="24"/>
  <c r="L59" i="24"/>
  <c r="M59" i="22" l="1"/>
  <c r="M61" i="22"/>
  <c r="M11" i="22"/>
  <c r="N14" i="22"/>
  <c r="N10" i="19"/>
  <c r="P14" i="19"/>
  <c r="O37" i="19"/>
  <c r="O36" i="19"/>
  <c r="O11" i="19"/>
  <c r="M58" i="24"/>
  <c r="M59" i="24"/>
  <c r="M11" i="24"/>
  <c r="N14" i="24"/>
  <c r="M10" i="22" l="1"/>
  <c r="O10" i="19"/>
  <c r="N59" i="22"/>
  <c r="N61" i="22"/>
  <c r="O14" i="22"/>
  <c r="N11" i="22"/>
  <c r="P36" i="19"/>
  <c r="P37" i="19"/>
  <c r="P11" i="19"/>
  <c r="Q14" i="19"/>
  <c r="N59" i="24"/>
  <c r="O14" i="24"/>
  <c r="N11" i="24"/>
  <c r="N58" i="24"/>
  <c r="N10" i="22" l="1"/>
  <c r="P14" i="22"/>
  <c r="O59" i="22"/>
  <c r="O10" i="22" s="1"/>
  <c r="O11" i="22"/>
  <c r="O61" i="22"/>
  <c r="Q11" i="19"/>
  <c r="Q37" i="19"/>
  <c r="Q36" i="19"/>
  <c r="R14" i="19"/>
  <c r="P10" i="19"/>
  <c r="O59" i="24"/>
  <c r="P14" i="24"/>
  <c r="O11" i="24"/>
  <c r="O58" i="24"/>
  <c r="P61" i="22" l="1"/>
  <c r="Q14" i="22"/>
  <c r="P11" i="22"/>
  <c r="P59" i="22"/>
  <c r="Q10" i="19"/>
  <c r="S14" i="19"/>
  <c r="R37" i="19"/>
  <c r="R11" i="19"/>
  <c r="R36" i="19"/>
  <c r="Q14" i="24"/>
  <c r="P11" i="24"/>
  <c r="P58" i="24"/>
  <c r="P59" i="24"/>
  <c r="P10" i="22" l="1"/>
  <c r="R14" i="22"/>
  <c r="Q59" i="22"/>
  <c r="Q61" i="22"/>
  <c r="Q11" i="22"/>
  <c r="R10" i="19"/>
  <c r="S36" i="19"/>
  <c r="S11" i="19"/>
  <c r="S37" i="19"/>
  <c r="T14" i="19"/>
  <c r="Q58" i="24"/>
  <c r="Q59" i="24"/>
  <c r="R14" i="24"/>
  <c r="Q11" i="24"/>
  <c r="Q10" i="22" l="1"/>
  <c r="R11" i="22"/>
  <c r="S14" i="22"/>
  <c r="R61" i="22"/>
  <c r="R59" i="22"/>
  <c r="T37" i="19"/>
  <c r="T11" i="19"/>
  <c r="T36" i="19"/>
  <c r="U14" i="19"/>
  <c r="S10" i="19"/>
  <c r="R59" i="24"/>
  <c r="S14" i="24"/>
  <c r="R11" i="24"/>
  <c r="R58" i="24"/>
  <c r="R10" i="22" l="1"/>
  <c r="S61" i="22"/>
  <c r="T14" i="22"/>
  <c r="S59" i="22"/>
  <c r="S10" i="22" s="1"/>
  <c r="S11" i="22"/>
  <c r="U11" i="19"/>
  <c r="U36" i="19"/>
  <c r="U37" i="19"/>
  <c r="V14" i="19"/>
  <c r="T10" i="19"/>
  <c r="S59" i="24"/>
  <c r="T14" i="24"/>
  <c r="S11" i="24"/>
  <c r="S58" i="24"/>
  <c r="U10" i="19" l="1"/>
  <c r="T59" i="22"/>
  <c r="T11" i="22"/>
  <c r="U14" i="22"/>
  <c r="T61" i="22"/>
  <c r="V36" i="19"/>
  <c r="V11" i="19"/>
  <c r="V37" i="19"/>
  <c r="V10" i="19" s="1"/>
  <c r="W14" i="19"/>
  <c r="U14" i="24"/>
  <c r="T11" i="24"/>
  <c r="T58" i="24"/>
  <c r="T59" i="24"/>
  <c r="T10" i="22" l="1"/>
  <c r="U61" i="22"/>
  <c r="U11" i="22"/>
  <c r="U59" i="22"/>
  <c r="U10" i="22" s="1"/>
  <c r="V14" i="22"/>
  <c r="W36" i="19"/>
  <c r="W11" i="19"/>
  <c r="W37" i="19"/>
  <c r="W10" i="19" s="1"/>
  <c r="X14" i="19"/>
  <c r="U58" i="24"/>
  <c r="U59" i="24"/>
  <c r="V14" i="24"/>
  <c r="U11" i="24"/>
  <c r="W14" i="22" l="1"/>
  <c r="V11" i="22"/>
  <c r="V59" i="22"/>
  <c r="V61" i="22"/>
  <c r="X11" i="19"/>
  <c r="X36" i="19"/>
  <c r="X37" i="19"/>
  <c r="X10" i="19" s="1"/>
  <c r="Y14" i="19"/>
  <c r="V59" i="24"/>
  <c r="W14" i="24"/>
  <c r="V11" i="24"/>
  <c r="V58" i="24"/>
  <c r="V10" i="22" l="1"/>
  <c r="W11" i="22"/>
  <c r="W61" i="22"/>
  <c r="W59" i="22"/>
  <c r="W10" i="22" s="1"/>
  <c r="X14" i="22"/>
  <c r="Y11" i="19"/>
  <c r="Z14" i="19"/>
  <c r="Y36" i="19"/>
  <c r="Y37" i="19"/>
  <c r="W59" i="24"/>
  <c r="X14" i="24"/>
  <c r="W11" i="24"/>
  <c r="W58" i="24"/>
  <c r="Y14" i="22" l="1"/>
  <c r="X61" i="22"/>
  <c r="X59" i="22"/>
  <c r="X10" i="22" s="1"/>
  <c r="X11" i="22"/>
  <c r="Y10" i="19"/>
  <c r="Z36" i="19"/>
  <c r="Z37" i="19"/>
  <c r="AA14" i="19"/>
  <c r="Z11" i="19"/>
  <c r="Y14" i="24"/>
  <c r="X11" i="24"/>
  <c r="X58" i="24"/>
  <c r="X59" i="24"/>
  <c r="Y11" i="22" l="1"/>
  <c r="Y61" i="22"/>
  <c r="Y59" i="22"/>
  <c r="Y10" i="22" s="1"/>
  <c r="Z14" i="22"/>
  <c r="AA37" i="19"/>
  <c r="AA36" i="19"/>
  <c r="AB14" i="19"/>
  <c r="AA11" i="19"/>
  <c r="Z10" i="19"/>
  <c r="Y58" i="24"/>
  <c r="Y59" i="24"/>
  <c r="Z14" i="24"/>
  <c r="Y11" i="24"/>
  <c r="Z11" i="22" l="1"/>
  <c r="Z59" i="22"/>
  <c r="Z61" i="22"/>
  <c r="AA14" i="22"/>
  <c r="AB11" i="19"/>
  <c r="AB36" i="19"/>
  <c r="AB37" i="19"/>
  <c r="AC14" i="19"/>
  <c r="AA10" i="19"/>
  <c r="Z59" i="24"/>
  <c r="AA14" i="24"/>
  <c r="Z11" i="24"/>
  <c r="Z58" i="24"/>
  <c r="Z10" i="22" l="1"/>
  <c r="AB14" i="22"/>
  <c r="AA11" i="22"/>
  <c r="AA59" i="22"/>
  <c r="AA10" i="22" s="1"/>
  <c r="AA61" i="22"/>
  <c r="AB10" i="19"/>
  <c r="AC34" i="19"/>
  <c r="AC37" i="19"/>
  <c r="AC67" i="19"/>
  <c r="AC56" i="19"/>
  <c r="AC43" i="19"/>
  <c r="AD14" i="19"/>
  <c r="AC62" i="19"/>
  <c r="AC42" i="19"/>
  <c r="AC27" i="19"/>
  <c r="AC28" i="19"/>
  <c r="AC36" i="19"/>
  <c r="AC49" i="19"/>
  <c r="AC57" i="19"/>
  <c r="AC61" i="19"/>
  <c r="AC15" i="19"/>
  <c r="AC23" i="19"/>
  <c r="AC54" i="19"/>
  <c r="AC35" i="19"/>
  <c r="AC48" i="19"/>
  <c r="AC46" i="19"/>
  <c r="AC68" i="19"/>
  <c r="AC40" i="19"/>
  <c r="AC58" i="19"/>
  <c r="AC52" i="19"/>
  <c r="AC21" i="19"/>
  <c r="AC47" i="19"/>
  <c r="AC33" i="19"/>
  <c r="AC51" i="19"/>
  <c r="AC44" i="19"/>
  <c r="AC50" i="19"/>
  <c r="AC19" i="19"/>
  <c r="AC65" i="19"/>
  <c r="AC60" i="19"/>
  <c r="AC11" i="19"/>
  <c r="AC66" i="19"/>
  <c r="AC55" i="19"/>
  <c r="AC45" i="19"/>
  <c r="AC64" i="19"/>
  <c r="AC59" i="19"/>
  <c r="AA59" i="24"/>
  <c r="AB14" i="24"/>
  <c r="AA11" i="24"/>
  <c r="AA58" i="24"/>
  <c r="AC14" i="22" l="1"/>
  <c r="AB59" i="22"/>
  <c r="AB10" i="22" s="1"/>
  <c r="AB11" i="22"/>
  <c r="AB61" i="22"/>
  <c r="AC10" i="19"/>
  <c r="AD57" i="19"/>
  <c r="AD55" i="19"/>
  <c r="AD49" i="19"/>
  <c r="AD44" i="19"/>
  <c r="AD61" i="19"/>
  <c r="AD67" i="19"/>
  <c r="AD48" i="19"/>
  <c r="AD59" i="19"/>
  <c r="AD65" i="19"/>
  <c r="AD11" i="19"/>
  <c r="AD43" i="19"/>
  <c r="AD35" i="19"/>
  <c r="AD50" i="19"/>
  <c r="AD60" i="19"/>
  <c r="AD37" i="19"/>
  <c r="AD27" i="19"/>
  <c r="AD19" i="19"/>
  <c r="AD64" i="19"/>
  <c r="AD42" i="19"/>
  <c r="AD40" i="19"/>
  <c r="AD51" i="19"/>
  <c r="AD15" i="19"/>
  <c r="AD52" i="19"/>
  <c r="AD28" i="19"/>
  <c r="AD58" i="19"/>
  <c r="AD56" i="19"/>
  <c r="AD36" i="19"/>
  <c r="AD46" i="19"/>
  <c r="AD66" i="19"/>
  <c r="AD34" i="19"/>
  <c r="AD33" i="19"/>
  <c r="AD47" i="19"/>
  <c r="AD21" i="19"/>
  <c r="AD23" i="19"/>
  <c r="AD68" i="19"/>
  <c r="AD45" i="19"/>
  <c r="AD54" i="19"/>
  <c r="AD62" i="19"/>
  <c r="AC14" i="24"/>
  <c r="AB11" i="24"/>
  <c r="AB58" i="24"/>
  <c r="AB59" i="24"/>
  <c r="AC20" i="22" l="1"/>
  <c r="AC25" i="22"/>
  <c r="AC19" i="22"/>
  <c r="AC24" i="22"/>
  <c r="AC23" i="22"/>
  <c r="AC65" i="22"/>
  <c r="AC88" i="22"/>
  <c r="AC56" i="22"/>
  <c r="AC11" i="22"/>
  <c r="AC18" i="22"/>
  <c r="AC77" i="22"/>
  <c r="AC83" i="22"/>
  <c r="AC67" i="22"/>
  <c r="AC59" i="22"/>
  <c r="AC89" i="22"/>
  <c r="AC90" i="22"/>
  <c r="AC15" i="22"/>
  <c r="AC21" i="22"/>
  <c r="AC58" i="22"/>
  <c r="AC85" i="22"/>
  <c r="AC84" i="22"/>
  <c r="AC86" i="22"/>
  <c r="AC45" i="22"/>
  <c r="AC61" i="22"/>
  <c r="AC16" i="22"/>
  <c r="AC76" i="22"/>
  <c r="AC43" i="22"/>
  <c r="AC80" i="22"/>
  <c r="AC17" i="22"/>
  <c r="AC78" i="22"/>
  <c r="AC81" i="22"/>
  <c r="AC66" i="22"/>
  <c r="AC93" i="22"/>
  <c r="AC79" i="22"/>
  <c r="AC44" i="22"/>
  <c r="AC92" i="22"/>
  <c r="AC64" i="22"/>
  <c r="AC87" i="22"/>
  <c r="AD14" i="22"/>
  <c r="AC42" i="22"/>
  <c r="AC27" i="22"/>
  <c r="AC91" i="22"/>
  <c r="AC94" i="22"/>
  <c r="AC22" i="22"/>
  <c r="AC57" i="22"/>
  <c r="AC82" i="22"/>
  <c r="AD10" i="19"/>
  <c r="D11" i="19" s="1"/>
  <c r="AC58" i="24"/>
  <c r="AC59" i="24"/>
  <c r="AC57" i="24"/>
  <c r="AC56" i="24"/>
  <c r="AC55" i="24"/>
  <c r="AC54" i="24"/>
  <c r="AC53" i="24"/>
  <c r="AC52" i="24"/>
  <c r="AC51" i="24"/>
  <c r="AC50" i="24"/>
  <c r="AC49" i="24"/>
  <c r="AC48" i="24"/>
  <c r="AC47" i="24"/>
  <c r="AC46" i="24"/>
  <c r="AC45" i="24"/>
  <c r="AC44" i="24"/>
  <c r="AC43" i="24"/>
  <c r="AC42" i="24"/>
  <c r="AC41" i="24"/>
  <c r="AC40" i="24"/>
  <c r="AC39" i="24"/>
  <c r="AC38" i="24"/>
  <c r="AC37" i="24"/>
  <c r="AC36" i="24"/>
  <c r="AC35" i="24"/>
  <c r="AC34" i="24"/>
  <c r="AC33" i="24"/>
  <c r="AC32" i="24"/>
  <c r="AC31" i="24"/>
  <c r="AC30" i="24"/>
  <c r="AC29" i="24"/>
  <c r="AC28" i="24"/>
  <c r="AC27" i="24"/>
  <c r="AC26" i="24"/>
  <c r="AC25" i="24"/>
  <c r="AC24" i="24"/>
  <c r="AC23" i="24"/>
  <c r="AC22" i="24"/>
  <c r="AC21" i="24"/>
  <c r="AC20" i="24"/>
  <c r="AC19" i="24"/>
  <c r="AC18" i="24"/>
  <c r="AC17" i="24"/>
  <c r="AC16" i="24"/>
  <c r="AC10" i="24" s="1"/>
  <c r="AC11" i="24"/>
  <c r="AD14" i="24"/>
  <c r="AD20" i="22" l="1"/>
  <c r="AD25" i="22"/>
  <c r="AD19" i="22"/>
  <c r="AD24" i="22"/>
  <c r="AD23" i="22"/>
  <c r="AC10" i="22"/>
  <c r="AD93" i="22"/>
  <c r="AD43" i="22"/>
  <c r="AD42" i="22"/>
  <c r="AD22" i="22"/>
  <c r="AD77" i="22"/>
  <c r="AD86" i="22"/>
  <c r="AD27" i="22"/>
  <c r="AD15" i="22"/>
  <c r="AD92" i="22"/>
  <c r="AD16" i="22"/>
  <c r="AD84" i="22"/>
  <c r="AD61" i="22"/>
  <c r="AD45" i="22"/>
  <c r="AD80" i="22"/>
  <c r="AD89" i="22"/>
  <c r="AD87" i="22"/>
  <c r="AD21" i="22"/>
  <c r="AD79" i="22"/>
  <c r="AD88" i="22"/>
  <c r="AD85" i="22"/>
  <c r="AD83" i="22"/>
  <c r="AD91" i="22"/>
  <c r="AD66" i="22"/>
  <c r="AD58" i="22"/>
  <c r="AD57" i="22"/>
  <c r="AD82" i="22"/>
  <c r="AD67" i="22"/>
  <c r="AD18" i="22"/>
  <c r="AD56" i="22"/>
  <c r="AD76" i="22"/>
  <c r="AD65" i="22"/>
  <c r="AD94" i="22"/>
  <c r="AD64" i="22"/>
  <c r="AD59" i="22"/>
  <c r="AD78" i="22"/>
  <c r="AD81" i="22"/>
  <c r="AD44" i="22"/>
  <c r="AD17" i="22"/>
  <c r="AD11" i="22"/>
  <c r="AD90" i="22"/>
  <c r="F13" i="19"/>
  <c r="D13" i="19"/>
  <c r="AD59" i="24"/>
  <c r="AD57" i="24"/>
  <c r="AD56" i="24"/>
  <c r="AD55" i="24"/>
  <c r="AD54" i="24"/>
  <c r="AD53" i="24"/>
  <c r="AD52" i="24"/>
  <c r="AD51" i="24"/>
  <c r="AD50" i="24"/>
  <c r="AD49" i="24"/>
  <c r="AD48" i="24"/>
  <c r="AD47" i="24"/>
  <c r="AD46" i="24"/>
  <c r="AD45" i="24"/>
  <c r="AD44" i="24"/>
  <c r="AD43" i="24"/>
  <c r="AD42" i="24"/>
  <c r="AD41" i="24"/>
  <c r="AD40" i="24"/>
  <c r="AD39" i="24"/>
  <c r="AD38" i="24"/>
  <c r="AD37" i="24"/>
  <c r="AD36" i="24"/>
  <c r="AD35" i="24"/>
  <c r="AD34" i="24"/>
  <c r="AD33" i="24"/>
  <c r="AD32" i="24"/>
  <c r="AD31" i="24"/>
  <c r="AD30" i="24"/>
  <c r="AD29" i="24"/>
  <c r="AD28" i="24"/>
  <c r="AD27" i="24"/>
  <c r="AD26" i="24"/>
  <c r="AD25" i="24"/>
  <c r="AD24" i="24"/>
  <c r="AD23" i="24"/>
  <c r="AD22" i="24"/>
  <c r="AD21" i="24"/>
  <c r="AD20" i="24"/>
  <c r="AD19" i="24"/>
  <c r="AD18" i="24"/>
  <c r="AD17" i="24"/>
  <c r="AD16" i="24"/>
  <c r="AD10" i="24" s="1"/>
  <c r="D11" i="24" s="1"/>
  <c r="AD11" i="24"/>
  <c r="AD58" i="24"/>
  <c r="AD10" i="22" l="1"/>
  <c r="D11" i="22" s="1"/>
  <c r="T12" i="19"/>
  <c r="V12" i="19"/>
  <c r="Z12" i="19"/>
  <c r="Q12" i="19"/>
  <c r="R12" i="19"/>
  <c r="K12" i="19"/>
  <c r="S12" i="19"/>
  <c r="X12" i="19"/>
  <c r="H12" i="19"/>
  <c r="N12" i="19"/>
  <c r="W12" i="19"/>
  <c r="I12" i="19"/>
  <c r="O12" i="19"/>
  <c r="AD12" i="19"/>
  <c r="G12" i="19"/>
  <c r="U12" i="19"/>
  <c r="AB12" i="19"/>
  <c r="Y12" i="19"/>
  <c r="J12" i="19"/>
  <c r="P12" i="19"/>
  <c r="AC12" i="19"/>
  <c r="F12" i="19"/>
  <c r="L12" i="19"/>
  <c r="M12" i="19"/>
  <c r="AA12" i="19"/>
  <c r="F13" i="24"/>
  <c r="D13" i="24"/>
  <c r="D13" i="22" l="1"/>
  <c r="F13" i="22"/>
  <c r="F12" i="24"/>
  <c r="M12" i="24"/>
  <c r="S12" i="24"/>
  <c r="AD12" i="24"/>
  <c r="T12" i="24"/>
  <c r="K12" i="24"/>
  <c r="X12" i="24"/>
  <c r="H12" i="24"/>
  <c r="O12" i="24"/>
  <c r="W12" i="24"/>
  <c r="Y12" i="24"/>
  <c r="I12" i="24"/>
  <c r="R12" i="24"/>
  <c r="V12" i="24"/>
  <c r="Q12" i="24"/>
  <c r="G12" i="24"/>
  <c r="N12" i="24"/>
  <c r="U12" i="24"/>
  <c r="P12" i="24"/>
  <c r="L12" i="24"/>
  <c r="Z12" i="24"/>
  <c r="AA12" i="24"/>
  <c r="AB12" i="24"/>
  <c r="AC12" i="24"/>
  <c r="J12" i="24"/>
  <c r="Y12" i="22" l="1"/>
  <c r="U12" i="22"/>
  <c r="Z12" i="22"/>
  <c r="X12" i="22"/>
  <c r="L12" i="22"/>
  <c r="F12" i="22"/>
  <c r="R12" i="22"/>
  <c r="AB12" i="22"/>
  <c r="J12" i="22"/>
  <c r="M12" i="22"/>
  <c r="W12" i="22"/>
  <c r="Q12" i="22"/>
  <c r="G12" i="22"/>
  <c r="S12" i="22"/>
  <c r="P12" i="22"/>
  <c r="H12" i="22"/>
  <c r="K12" i="22"/>
  <c r="O12" i="22"/>
  <c r="AC12" i="22"/>
  <c r="AD12" i="22"/>
  <c r="T12" i="22"/>
  <c r="AA12" i="22"/>
  <c r="N12" i="22"/>
  <c r="V12" i="22"/>
  <c r="I12" i="22"/>
</calcChain>
</file>

<file path=xl/comments1.xml><?xml version="1.0" encoding="utf-8"?>
<comments xmlns="http://schemas.openxmlformats.org/spreadsheetml/2006/main">
  <authors>
    <author>Petri Heiramo</author>
  </authors>
  <commentList>
    <comment ref="A4" authorId="0" shapeId="0">
      <text>
        <r>
          <rPr>
            <sz val="8"/>
            <color indexed="81"/>
            <rFont val="Tahoma"/>
            <family val="2"/>
          </rPr>
          <t>Once a Story ID is given to a story, do not change that number or reuse it even if you delete the story.</t>
        </r>
      </text>
    </comment>
    <comment ref="C4" authorId="0" shapeId="0">
      <text>
        <r>
          <rPr>
            <b/>
            <sz val="8"/>
            <color indexed="81"/>
            <rFont val="Tahoma"/>
            <family val="2"/>
          </rPr>
          <t>Use the following statuses:</t>
        </r>
        <r>
          <rPr>
            <sz val="8"/>
            <color indexed="81"/>
            <rFont val="Tahoma"/>
            <family val="2"/>
          </rPr>
          <t xml:space="preserve">
Planned (or empty)
Ongoing
Done
Removed
The sheet uses the above statuses in the formatting and calculation formulas.</t>
        </r>
      </text>
    </comment>
    <comment ref="D4" authorId="0" shapeId="0">
      <text>
        <r>
          <rPr>
            <sz val="8"/>
            <color indexed="81"/>
            <rFont val="Tahoma"/>
            <family val="2"/>
          </rPr>
          <t>Story Points or Ideal Days</t>
        </r>
      </text>
    </comment>
    <comment ref="E4" authorId="0" shapeId="0">
      <text>
        <r>
          <rPr>
            <sz val="8"/>
            <color indexed="81"/>
            <rFont val="Tahoma"/>
            <family val="2"/>
          </rPr>
          <t>Create a release plan by assigning stories to planned sprints. If there are more stories in the backlog than in the plan, leave the remaining stories unassigned to sprints.</t>
        </r>
      </text>
    </comment>
    <comment ref="F4" authorId="0" shapeId="0">
      <text>
        <r>
          <rPr>
            <sz val="8"/>
            <color indexed="81"/>
            <rFont val="Tahoma"/>
            <family val="2"/>
          </rPr>
          <t>You may assign priorities to the stories, but keep in mind that priority does not always equal implementation order.</t>
        </r>
      </text>
    </comment>
  </commentList>
</comments>
</file>

<file path=xl/comments2.xml><?xml version="1.0" encoding="utf-8"?>
<comments xmlns="http://schemas.openxmlformats.org/spreadsheetml/2006/main">
  <authors>
    <author>Petri Heiramo</author>
  </authors>
  <commentList>
    <comment ref="B15" authorId="0" shapeId="0">
      <text>
        <r>
          <rPr>
            <sz val="8"/>
            <color indexed="81"/>
            <rFont val="Tahoma"/>
            <family val="2"/>
          </rPr>
          <t>Average estimate * 0,6</t>
        </r>
      </text>
    </comment>
    <comment ref="B17" authorId="0" shapeId="0">
      <text>
        <r>
          <rPr>
            <sz val="8"/>
            <color indexed="81"/>
            <rFont val="Tahoma"/>
            <family val="2"/>
          </rPr>
          <t>Average estimate * 1,6</t>
        </r>
      </text>
    </comment>
    <comment ref="B19" authorId="0" shapeId="0">
      <text>
        <r>
          <rPr>
            <sz val="8"/>
            <color indexed="81"/>
            <rFont val="Tahoma"/>
            <family val="2"/>
          </rPr>
          <t>As of latest Product Backlog estimate</t>
        </r>
      </text>
    </comment>
  </commentList>
</comments>
</file>

<file path=xl/comments3.xml><?xml version="1.0" encoding="utf-8"?>
<comments xmlns="http://schemas.openxmlformats.org/spreadsheetml/2006/main">
  <authors>
    <author>Petri Heiramo</author>
  </authors>
  <commentList>
    <comment ref="A9" authorId="0" shapeId="0">
      <text>
        <r>
          <rPr>
            <sz val="8"/>
            <color indexed="81"/>
            <rFont val="Tahoma"/>
            <family val="2"/>
          </rPr>
          <t>Count only active working and implementation days. Do not include Planning Day or Sprint Review.
E.g. a 4-week Sprint would most likely have 18 implementation days.</t>
        </r>
      </text>
    </comment>
  </commentList>
</comments>
</file>

<file path=xl/comments4.xml><?xml version="1.0" encoding="utf-8"?>
<comments xmlns="http://schemas.openxmlformats.org/spreadsheetml/2006/main">
  <authors>
    <author>Petri Heiramo</author>
  </authors>
  <commentList>
    <comment ref="A9" authorId="0" shapeId="0">
      <text>
        <r>
          <rPr>
            <sz val="8"/>
            <color indexed="81"/>
            <rFont val="Tahoma"/>
            <family val="2"/>
          </rPr>
          <t>Count only active working and implementation days. Do not include Planning Day or Sprint Review.
E.g. a 4-week Sprint would most likely have 18 implementation days.</t>
        </r>
      </text>
    </comment>
  </commentList>
</comments>
</file>

<file path=xl/comments5.xml><?xml version="1.0" encoding="utf-8"?>
<comments xmlns="http://schemas.openxmlformats.org/spreadsheetml/2006/main">
  <authors>
    <author>Petri Heiramo</author>
  </authors>
  <commentList>
    <comment ref="A9" authorId="0" shapeId="0">
      <text>
        <r>
          <rPr>
            <sz val="8"/>
            <color indexed="81"/>
            <rFont val="Tahoma"/>
            <family val="2"/>
          </rPr>
          <t>Count only active working and implementation days. Do not include Planning Day or Sprint Review.
E.g. a 4-week Sprint would most likely have 18 implementation days.</t>
        </r>
      </text>
    </comment>
  </commentList>
</comments>
</file>

<file path=xl/comments6.xml><?xml version="1.0" encoding="utf-8"?>
<comments xmlns="http://schemas.openxmlformats.org/spreadsheetml/2006/main">
  <authors>
    <author>Petri Heiramo</author>
  </authors>
  <commentList>
    <comment ref="A9" authorId="0" shapeId="0">
      <text>
        <r>
          <rPr>
            <sz val="8"/>
            <color indexed="81"/>
            <rFont val="Tahoma"/>
            <family val="2"/>
          </rPr>
          <t>Count only active working and implementation days. Do not include Planning Day or Sprint Review.
E.g. a 4-week Sprint would most likely have 18 implementation days.</t>
        </r>
      </text>
    </comment>
  </commentList>
</comments>
</file>

<file path=xl/comments7.xml><?xml version="1.0" encoding="utf-8"?>
<comments xmlns="http://schemas.openxmlformats.org/spreadsheetml/2006/main">
  <authors>
    <author>Petri Heiramo</author>
  </authors>
  <commentList>
    <comment ref="A9" authorId="0" shapeId="0">
      <text>
        <r>
          <rPr>
            <sz val="8"/>
            <color indexed="81"/>
            <rFont val="Tahoma"/>
            <family val="2"/>
          </rPr>
          <t>Count only active working and implementation days. Do not include Planning Day or Sprint Review.
E.g. a 4-week Sprint would most likely have 18 implementation days.</t>
        </r>
      </text>
    </comment>
  </commentList>
</comments>
</file>

<file path=xl/sharedStrings.xml><?xml version="1.0" encoding="utf-8"?>
<sst xmlns="http://schemas.openxmlformats.org/spreadsheetml/2006/main" count="420" uniqueCount="194">
  <si>
    <t>Increment Plan</t>
  </si>
  <si>
    <t>Incr.</t>
  </si>
  <si>
    <t>Start</t>
  </si>
  <si>
    <t>Days</t>
  </si>
  <si>
    <t>End</t>
  </si>
  <si>
    <t>Size</t>
  </si>
  <si>
    <t>Status</t>
  </si>
  <si>
    <t>Release Date</t>
  </si>
  <si>
    <t>Goal</t>
  </si>
  <si>
    <t>Template note: Increment plan is intended to collect individual sprints into larger releases. In smaller projects, this is not needed.</t>
  </si>
  <si>
    <t>Sprint Plan</t>
  </si>
  <si>
    <t>Sprint</t>
  </si>
  <si>
    <t>Increment</t>
  </si>
  <si>
    <t>18/09/2019</t>
  </si>
  <si>
    <t>19/09/2019</t>
  </si>
  <si>
    <t>Unallocated stories</t>
  </si>
  <si>
    <t>Product Backlog</t>
  </si>
  <si>
    <t xml:space="preserve"> </t>
  </si>
  <si>
    <t>Story ID</t>
  </si>
  <si>
    <t>Story name</t>
  </si>
  <si>
    <t>Priority</t>
  </si>
  <si>
    <t>User Story</t>
  </si>
  <si>
    <t>User Type</t>
  </si>
  <si>
    <t>charte projet+charte graphique+maquette+MCD</t>
  </si>
  <si>
    <t>Done</t>
  </si>
  <si>
    <t>En tant que client, je veux connaitre les fonctionnalités accordées et ses delais de livraison</t>
  </si>
  <si>
    <t>membres</t>
  </si>
  <si>
    <t>Ajouter une annonce</t>
  </si>
  <si>
    <t>En tant que Fournisseur, je veux publier une annonce</t>
  </si>
  <si>
    <t>Fournisseur</t>
  </si>
  <si>
    <t>Affichage des annonces</t>
  </si>
  <si>
    <t>Ongoing</t>
  </si>
  <si>
    <t>En tant que Prestataire, je veux consulter les annonces</t>
  </si>
  <si>
    <t xml:space="preserve">soumissionner </t>
  </si>
  <si>
    <t>En tant que Prestataire, je veux communiquer sur une annonce</t>
  </si>
  <si>
    <t>Inscriptions et validation des fournisseurs et prestataires</t>
  </si>
  <si>
    <t>En tant que administrateur, je veux pouvoir valider des inscriptions</t>
  </si>
  <si>
    <t>Administrateur</t>
  </si>
  <si>
    <t>validation service</t>
  </si>
  <si>
    <t>Planned</t>
  </si>
  <si>
    <t>En tant que administrateur, je veux pouvoir valider des annonce</t>
  </si>
  <si>
    <t>Commenter et noter les fournisseurs</t>
  </si>
  <si>
    <t>En tant que Fournisseur, je veux pourvoir noter un Prestataire à la fin de la transaction pour pouvoir aider les autres fournisseurs.</t>
  </si>
  <si>
    <t>supprimer un Prestataire</t>
  </si>
  <si>
    <t>En tant que administrateur, je veux pouvoir supprimer un Prestataire ou un fournisseur</t>
  </si>
  <si>
    <t>faire la liste des vues</t>
  </si>
  <si>
    <t>faire le diagramme des classes</t>
  </si>
  <si>
    <t>Product Backlog Burndown Chart</t>
  </si>
  <si>
    <t>Original planned size</t>
  </si>
  <si>
    <t>Sprint count</t>
  </si>
  <si>
    <t>Count trend from last</t>
  </si>
  <si>
    <t>sprints</t>
  </si>
  <si>
    <t>Trend sprint count</t>
  </si>
  <si>
    <t>Trend offset</t>
  </si>
  <si>
    <t>Note:</t>
  </si>
  <si>
    <t>Velocity (points per sprint)</t>
  </si>
  <si>
    <t>Sprints in Trend</t>
  </si>
  <si>
    <t xml:space="preserve">In this chart, the tops of the bars show the amount of actual </t>
  </si>
  <si>
    <t>Original estimate</t>
  </si>
  <si>
    <t xml:space="preserve">(or planned) implemented functionality at the beginning of each sprint. </t>
  </si>
  <si>
    <t>The bottoms of the bars show the changes in project scope</t>
  </si>
  <si>
    <t>Realized total average</t>
  </si>
  <si>
    <t>Trend count</t>
  </si>
  <si>
    <t>(i.e. if the amount of story points</t>
  </si>
  <si>
    <t>Average last 8</t>
  </si>
  <si>
    <t>in the project increases, the bottoms move lower). The length</t>
  </si>
  <si>
    <t>Avg. worst 3 in last 8</t>
  </si>
  <si>
    <t>of the bars indicate the estimated size of the project at the</t>
  </si>
  <si>
    <t>Trend</t>
  </si>
  <si>
    <t xml:space="preserve">beginning of each sprint. </t>
  </si>
  <si>
    <t>These hidden cells are used to draw the graph on this page. DO NOT DELETE!</t>
  </si>
  <si>
    <t>The red line indicates the current planned scope.</t>
  </si>
  <si>
    <t>Predictions - Completion at the end of sprint…</t>
  </si>
  <si>
    <t>Original estimate - Min</t>
  </si>
  <si>
    <t>Original estimate - Avg</t>
  </si>
  <si>
    <t>Original estimate - Max</t>
  </si>
  <si>
    <t>Standard Dev.</t>
  </si>
  <si>
    <t>Realized average</t>
  </si>
  <si>
    <t>LastPlanned</t>
  </si>
  <si>
    <t>LastRealized</t>
  </si>
  <si>
    <t>Realized + St. Dev</t>
  </si>
  <si>
    <t>Realized - St. Dev</t>
  </si>
  <si>
    <t>Average Speeds</t>
  </si>
  <si>
    <t>Remain.Work</t>
  </si>
  <si>
    <t>Planned Work</t>
  </si>
  <si>
    <t>Realized Work</t>
  </si>
  <si>
    <t>Current Total Size</t>
  </si>
  <si>
    <t>Col top</t>
  </si>
  <si>
    <t>Do not delete…</t>
  </si>
  <si>
    <t>Col bottom</t>
  </si>
  <si>
    <t>Trend Help</t>
  </si>
  <si>
    <t>Raw Trend</t>
  </si>
  <si>
    <t>Real Trend</t>
  </si>
  <si>
    <t>Current Bottom</t>
  </si>
  <si>
    <t>Realized</t>
  </si>
  <si>
    <t>Last 8</t>
  </si>
  <si>
    <t>Worst 3 in Last 8</t>
  </si>
  <si>
    <t>sprint zéro</t>
  </si>
  <si>
    <t>Sprint implementation days</t>
  </si>
  <si>
    <t>Effort</t>
  </si>
  <si>
    <t>Remaining on implementation day…</t>
  </si>
  <si>
    <t>Trend calculated based on last</t>
  </si>
  <si>
    <t>Totals</t>
  </si>
  <si>
    <t>Task rows</t>
  </si>
  <si>
    <t>Done days</t>
  </si>
  <si>
    <t>Warning! These are necessary</t>
  </si>
  <si>
    <t>template rows</t>
  </si>
  <si>
    <t>Trend Days</t>
  </si>
  <si>
    <t>Task name</t>
  </si>
  <si>
    <t>Responsible</t>
  </si>
  <si>
    <t>Est.</t>
  </si>
  <si>
    <t>charte du projet</t>
  </si>
  <si>
    <t>Kervens,Salah,Gaël</t>
  </si>
  <si>
    <t>charte du graphique</t>
  </si>
  <si>
    <t>Salah</t>
  </si>
  <si>
    <t>maquette</t>
  </si>
  <si>
    <t>MCD</t>
  </si>
  <si>
    <t>Gaël</t>
  </si>
  <si>
    <t>salah,kervens,gael</t>
  </si>
  <si>
    <t>salah,gael</t>
  </si>
  <si>
    <t xml:space="preserve">vue header + menu : html </t>
  </si>
  <si>
    <t>kervens, gael</t>
  </si>
  <si>
    <t>vue header + menu : css</t>
  </si>
  <si>
    <t>salah,olivier</t>
  </si>
  <si>
    <t>vue footer : html</t>
  </si>
  <si>
    <t>kervens</t>
  </si>
  <si>
    <t xml:space="preserve">vue footer (mobile): css </t>
  </si>
  <si>
    <t>vue tuile : html</t>
  </si>
  <si>
    <t>vue tuile: css</t>
  </si>
  <si>
    <t>vue liste : html</t>
  </si>
  <si>
    <t>kervens,gael</t>
  </si>
  <si>
    <t>vue liste : css</t>
  </si>
  <si>
    <t>salah</t>
  </si>
  <si>
    <t>vue alert: html</t>
  </si>
  <si>
    <t>vue formulaire : html</t>
  </si>
  <si>
    <t>vue formulaire : css</t>
  </si>
  <si>
    <t>db: ajouter des fournisseur</t>
  </si>
  <si>
    <t>gael</t>
  </si>
  <si>
    <t>controleur membre : se connecter</t>
  </si>
  <si>
    <t>controleur membre : activer un membre</t>
  </si>
  <si>
    <t>controleur annonce : ajouter une annonce</t>
  </si>
  <si>
    <t>controleur annonce : voir la liste d'annonces</t>
  </si>
  <si>
    <t>controleur annonce : voir une annonce</t>
  </si>
  <si>
    <t>controleur membre : ajouter un membre</t>
  </si>
  <si>
    <t>controleur membre : voir une liste de membres</t>
  </si>
  <si>
    <t>controleur annonce : voir un membre</t>
  </si>
  <si>
    <t>vue footer : css</t>
  </si>
  <si>
    <t>done</t>
  </si>
  <si>
    <t>vue alert : html</t>
  </si>
  <si>
    <t>vue alert : css</t>
  </si>
  <si>
    <t xml:space="preserve">     faire l'ajout de photo</t>
  </si>
  <si>
    <t xml:space="preserve">     bug : pas d'erreur si la catégorie n'est pas select</t>
  </si>
  <si>
    <t>réorganiser le css en itcss</t>
  </si>
  <si>
    <t xml:space="preserve">    afficher l'annonce</t>
  </si>
  <si>
    <t>olivier</t>
  </si>
  <si>
    <t xml:space="preserve">    faire le css pour la vue annonce</t>
  </si>
  <si>
    <t xml:space="preserve">         vue annonce : ajouter bouton soumissionner</t>
  </si>
  <si>
    <t xml:space="preserve">         vue annonce : liste des messages</t>
  </si>
  <si>
    <t>controleur annonce : soumissionner</t>
  </si>
  <si>
    <t xml:space="preserve">    controleur message : enregistre le message</t>
  </si>
  <si>
    <t xml:space="preserve">    afficher le message dans la vue</t>
  </si>
  <si>
    <t xml:space="preserve">controleur auth : inscription   </t>
  </si>
  <si>
    <t xml:space="preserve">    - ajout bouton s'inscrire dans le form login </t>
  </si>
  <si>
    <t xml:space="preserve">    - mettre en forme le form inscription</t>
  </si>
  <si>
    <t>controleur membre : activer membre</t>
  </si>
  <si>
    <t>script : organiser les fichier js</t>
  </si>
  <si>
    <t>validation annonce</t>
  </si>
  <si>
    <t xml:space="preserve">    ajout colonne annonce dans la table ad</t>
  </si>
  <si>
    <t xml:space="preserve">    modifier model ad pour ne pas afficher les annonces invalides</t>
  </si>
  <si>
    <t xml:space="preserve">    ajout alerte attente activation apres creation annonces</t>
  </si>
  <si>
    <t>ajouter une vue accueil admin</t>
  </si>
  <si>
    <t xml:space="preserve">    accueil admin : html</t>
  </si>
  <si>
    <t xml:space="preserve">    redirection vers accueil admin si user = admin </t>
  </si>
  <si>
    <t>gérer déconnexion</t>
  </si>
  <si>
    <t xml:space="preserve">   ajouter le lien</t>
  </si>
  <si>
    <t xml:space="preserve">   coder la déconnexion (logout sous ion_auth)</t>
  </si>
  <si>
    <t>gérer les accès des utilisateurs non validé</t>
  </si>
  <si>
    <t>gérer les accès suivant le role de l'utilisateur</t>
  </si>
  <si>
    <t xml:space="preserve">   ajouter role dans $_session ou verif le groupe</t>
  </si>
  <si>
    <t xml:space="preserve">   verifier le role pour chaque méthode</t>
  </si>
  <si>
    <t xml:space="preserve">    faire une vue annonce (html)</t>
  </si>
  <si>
    <t xml:space="preserve">    accueil admin : css</t>
  </si>
  <si>
    <t>definir le contenu des menus</t>
  </si>
  <si>
    <t>tester toutes les fonctions</t>
  </si>
  <si>
    <t>tester tous les formulaires</t>
  </si>
  <si>
    <t>les liens des menus sont actifs</t>
  </si>
  <si>
    <t>mettre les filtres opérationnels</t>
  </si>
  <si>
    <t>refaire les menus dynamique</t>
  </si>
  <si>
    <t>page profil</t>
  </si>
  <si>
    <t>faire le controlleur profil</t>
  </si>
  <si>
    <t>html profil</t>
  </si>
  <si>
    <t xml:space="preserve">   fonction modifier une annonce</t>
  </si>
  <si>
    <t>ongoing</t>
  </si>
  <si>
    <t>modif du profil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</si>
</sst>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d\.m\.yyyy;@"/>
    <numFmt numFmtId="165" formatCode="0.0"/>
    <numFmt numFmtId="166" formatCode="&quot;Sprint &quot;#&quot; Backlog&quot;"/>
    <numFmt numFmtId="167" formatCode="&quot;Last &quot;###&quot; sprints&quot;"/>
  </numFmts>
  <fonts count="12" x14ac:knownFonts="1">
    <font>
      <sz val="10"/>
      <name val="Arial"/>
    </font>
    <font>
      <b/>
      <sz val="10"/>
      <name val="Arial"/>
      <family val="2"/>
    </font>
    <font>
      <sz val="8"/>
      <name val="Arial"/>
    </font>
    <font>
      <sz val="14"/>
      <name val="Arial"/>
    </font>
    <font>
      <sz val="14"/>
      <name val="Arial"/>
      <family val="2"/>
    </font>
    <font>
      <sz val="8"/>
      <color indexed="81"/>
      <name val="Tahoma"/>
      <family val="2"/>
    </font>
    <font>
      <i/>
      <sz val="10"/>
      <color indexed="12"/>
      <name val="Arial"/>
      <family val="2"/>
    </font>
    <font>
      <b/>
      <sz val="8"/>
      <color indexed="81"/>
      <name val="Tahoma"/>
      <family val="2"/>
    </font>
    <font>
      <sz val="10"/>
      <color indexed="10"/>
      <name val="Arial"/>
      <family val="2"/>
    </font>
    <font>
      <b/>
      <sz val="10"/>
      <color indexed="10"/>
      <name val="Arial"/>
      <family val="2"/>
    </font>
    <font>
      <sz val="10"/>
      <name val="Arial"/>
      <family val="2"/>
    </font>
    <font>
      <sz val="11"/>
      <color rgb="FF0061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rgb="FFC6EFCE"/>
      </patternFill>
    </fill>
  </fills>
  <borders count="1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1" fillId="4" borderId="0" applyNumberFormat="0" applyBorder="0" applyAlignment="0" applyProtection="0"/>
  </cellStyleXfs>
  <cellXfs count="89">
    <xf numFmtId="0" fontId="0" fillId="0" borderId="0" xfId="0"/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Alignment="1"/>
    <xf numFmtId="0" fontId="0" fillId="0" borderId="0" xfId="0" applyBorder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1" fillId="0" borderId="5" xfId="0" applyFont="1" applyBorder="1" applyAlignment="1">
      <alignment horizontal="center"/>
    </xf>
    <xf numFmtId="0" fontId="1" fillId="0" borderId="6" xfId="0" applyFont="1" applyBorder="1"/>
    <xf numFmtId="0" fontId="1" fillId="0" borderId="7" xfId="0" applyFont="1" applyBorder="1"/>
    <xf numFmtId="0" fontId="0" fillId="2" borderId="8" xfId="0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0" fillId="2" borderId="10" xfId="0" applyFill="1" applyBorder="1" applyAlignment="1">
      <alignment horizontal="center"/>
    </xf>
    <xf numFmtId="0" fontId="3" fillId="0" borderId="0" xfId="0" applyFont="1"/>
    <xf numFmtId="0" fontId="0" fillId="2" borderId="0" xfId="0" applyFill="1"/>
    <xf numFmtId="0" fontId="1" fillId="0" borderId="0" xfId="0" applyFont="1" applyAlignment="1">
      <alignment horizontal="center"/>
    </xf>
    <xf numFmtId="0" fontId="1" fillId="2" borderId="0" xfId="0" applyFont="1" applyFill="1"/>
    <xf numFmtId="0" fontId="1" fillId="2" borderId="0" xfId="0" applyFont="1" applyFill="1" applyAlignment="1">
      <alignment horizontal="center"/>
    </xf>
    <xf numFmtId="0" fontId="1" fillId="2" borderId="0" xfId="0" applyFont="1" applyFill="1" applyAlignment="1"/>
    <xf numFmtId="0" fontId="0" fillId="2" borderId="0" xfId="0" applyFill="1" applyAlignment="1"/>
    <xf numFmtId="0" fontId="0" fillId="2" borderId="0" xfId="0" applyNumberFormat="1" applyFill="1" applyBorder="1" applyAlignment="1">
      <alignment horizontal="center"/>
    </xf>
    <xf numFmtId="0" fontId="0" fillId="0" borderId="11" xfId="0" applyBorder="1"/>
    <xf numFmtId="0" fontId="1" fillId="0" borderId="11" xfId="0" applyFont="1" applyBorder="1" applyAlignment="1">
      <alignment horizontal="right"/>
    </xf>
    <xf numFmtId="0" fontId="0" fillId="2" borderId="11" xfId="0" applyNumberFormat="1" applyFill="1" applyBorder="1" applyAlignment="1">
      <alignment horizontal="center"/>
    </xf>
    <xf numFmtId="14" fontId="0" fillId="2" borderId="0" xfId="0" applyNumberFormat="1" applyFill="1" applyBorder="1" applyAlignment="1">
      <alignment horizontal="center"/>
    </xf>
    <xf numFmtId="0" fontId="0" fillId="0" borderId="0" xfId="0" applyNumberFormat="1" applyFill="1" applyBorder="1" applyAlignment="1">
      <alignment horizontal="center"/>
    </xf>
    <xf numFmtId="0" fontId="0" fillId="0" borderId="2" xfId="0" applyNumberFormat="1" applyFill="1" applyBorder="1" applyAlignment="1">
      <alignment horizontal="left"/>
    </xf>
    <xf numFmtId="0" fontId="0" fillId="0" borderId="3" xfId="0" applyNumberFormat="1" applyFill="1" applyBorder="1" applyAlignment="1">
      <alignment horizontal="left"/>
    </xf>
    <xf numFmtId="0" fontId="0" fillId="0" borderId="4" xfId="0" applyNumberFormat="1" applyFill="1" applyBorder="1" applyAlignment="1">
      <alignment horizontal="left"/>
    </xf>
    <xf numFmtId="166" fontId="4" fillId="0" borderId="0" xfId="0" applyNumberFormat="1" applyFont="1" applyAlignment="1">
      <alignment horizontal="left"/>
    </xf>
    <xf numFmtId="0" fontId="0" fillId="0" borderId="0" xfId="0" applyAlignment="1">
      <alignment vertical="top" wrapText="1"/>
    </xf>
    <xf numFmtId="0" fontId="3" fillId="0" borderId="0" xfId="0" applyFont="1" applyAlignment="1">
      <alignment horizontal="center" vertical="top"/>
    </xf>
    <xf numFmtId="0" fontId="0" fillId="0" borderId="0" xfId="0" applyAlignment="1">
      <alignment horizontal="center" vertical="top"/>
    </xf>
    <xf numFmtId="0" fontId="0" fillId="0" borderId="0" xfId="0" applyAlignment="1">
      <alignment vertical="top"/>
    </xf>
    <xf numFmtId="0" fontId="0" fillId="0" borderId="0" xfId="0" applyFill="1" applyAlignment="1">
      <alignment horizontal="center"/>
    </xf>
    <xf numFmtId="166" fontId="4" fillId="0" borderId="0" xfId="0" applyNumberFormat="1" applyFont="1" applyAlignment="1">
      <alignment horizontal="center"/>
    </xf>
    <xf numFmtId="0" fontId="6" fillId="0" borderId="0" xfId="0" applyFont="1"/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164" fontId="0" fillId="2" borderId="0" xfId="0" applyNumberFormat="1" applyFill="1" applyBorder="1" applyAlignment="1">
      <alignment horizontal="center"/>
    </xf>
    <xf numFmtId="164" fontId="0" fillId="2" borderId="1" xfId="0" applyNumberFormat="1" applyFill="1" applyBorder="1" applyAlignment="1">
      <alignment horizontal="center"/>
    </xf>
    <xf numFmtId="0" fontId="0" fillId="2" borderId="1" xfId="0" applyNumberFormat="1" applyFill="1" applyBorder="1" applyAlignment="1">
      <alignment horizontal="center"/>
    </xf>
    <xf numFmtId="164" fontId="0" fillId="2" borderId="11" xfId="0" applyNumberFormat="1" applyFill="1" applyBorder="1" applyAlignment="1">
      <alignment horizontal="center"/>
    </xf>
    <xf numFmtId="0" fontId="1" fillId="2" borderId="14" xfId="0" applyFont="1" applyFill="1" applyBorder="1" applyAlignment="1">
      <alignment horizontal="center" vertical="top"/>
    </xf>
    <xf numFmtId="0" fontId="1" fillId="2" borderId="14" xfId="0" applyFont="1" applyFill="1" applyBorder="1" applyAlignment="1">
      <alignment vertical="top" wrapText="1"/>
    </xf>
    <xf numFmtId="0" fontId="1" fillId="0" borderId="6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164" fontId="0" fillId="0" borderId="11" xfId="0" applyNumberFormat="1" applyBorder="1" applyAlignment="1">
      <alignment horizontal="center"/>
    </xf>
    <xf numFmtId="164" fontId="0" fillId="0" borderId="0" xfId="0" applyNumberFormat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0" fontId="0" fillId="0" borderId="11" xfId="0" applyBorder="1" applyAlignment="1">
      <alignment horizontal="center"/>
    </xf>
    <xf numFmtId="0" fontId="1" fillId="0" borderId="15" xfId="0" applyFont="1" applyBorder="1" applyAlignment="1">
      <alignment horizontal="center"/>
    </xf>
    <xf numFmtId="0" fontId="3" fillId="0" borderId="0" xfId="0" applyFont="1" applyAlignment="1">
      <alignment vertical="top"/>
    </xf>
    <xf numFmtId="0" fontId="0" fillId="3" borderId="0" xfId="0" applyFill="1"/>
    <xf numFmtId="0" fontId="9" fillId="0" borderId="0" xfId="0" applyFont="1"/>
    <xf numFmtId="0" fontId="0" fillId="3" borderId="0" xfId="0" applyFill="1" applyAlignment="1">
      <alignment horizontal="center"/>
    </xf>
    <xf numFmtId="165" fontId="0" fillId="3" borderId="0" xfId="0" applyNumberFormat="1" applyFill="1"/>
    <xf numFmtId="1" fontId="0" fillId="3" borderId="0" xfId="0" applyNumberFormat="1" applyFill="1"/>
    <xf numFmtId="0" fontId="1" fillId="2" borderId="14" xfId="0" applyFont="1" applyFill="1" applyBorder="1" applyAlignment="1">
      <alignment horizontal="center"/>
    </xf>
    <xf numFmtId="0" fontId="1" fillId="2" borderId="14" xfId="0" applyFont="1" applyFill="1" applyBorder="1" applyAlignment="1">
      <alignment wrapText="1"/>
    </xf>
    <xf numFmtId="0" fontId="1" fillId="2" borderId="14" xfId="0" applyFont="1" applyFill="1" applyBorder="1" applyAlignment="1">
      <alignment horizontal="center" wrapText="1"/>
    </xf>
    <xf numFmtId="0" fontId="0" fillId="0" borderId="0" xfId="0" applyAlignment="1">
      <alignment wrapText="1"/>
    </xf>
    <xf numFmtId="0" fontId="1" fillId="2" borderId="0" xfId="0" applyFont="1" applyFill="1" applyBorder="1" applyAlignment="1">
      <alignment horizontal="left" wrapText="1"/>
    </xf>
    <xf numFmtId="165" fontId="0" fillId="0" borderId="0" xfId="0" applyNumberFormat="1"/>
    <xf numFmtId="166" fontId="4" fillId="0" borderId="0" xfId="0" applyNumberFormat="1" applyFont="1" applyAlignment="1">
      <alignment horizontal="left" vertical="top"/>
    </xf>
    <xf numFmtId="166" fontId="4" fillId="0" borderId="0" xfId="0" applyNumberFormat="1" applyFont="1" applyAlignment="1">
      <alignment horizontal="center" vertical="top"/>
    </xf>
    <xf numFmtId="0" fontId="1" fillId="2" borderId="0" xfId="0" applyFont="1" applyFill="1" applyAlignment="1">
      <alignment vertical="top"/>
    </xf>
    <xf numFmtId="0" fontId="0" fillId="0" borderId="0" xfId="0" applyFill="1" applyAlignment="1">
      <alignment horizontal="center" vertical="top"/>
    </xf>
    <xf numFmtId="0" fontId="0" fillId="2" borderId="0" xfId="0" applyFill="1" applyAlignment="1">
      <alignment vertical="top"/>
    </xf>
    <xf numFmtId="0" fontId="1" fillId="0" borderId="0" xfId="0" applyFont="1" applyAlignment="1">
      <alignment horizontal="center" vertical="top"/>
    </xf>
    <xf numFmtId="0" fontId="1" fillId="2" borderId="0" xfId="0" applyFont="1" applyFill="1" applyAlignment="1">
      <alignment horizontal="center" vertical="top"/>
    </xf>
    <xf numFmtId="0" fontId="0" fillId="0" borderId="3" xfId="0" applyBorder="1" applyAlignment="1">
      <alignment horizontal="center"/>
    </xf>
    <xf numFmtId="0" fontId="1" fillId="0" borderId="2" xfId="0" applyFont="1" applyBorder="1"/>
    <xf numFmtId="17" fontId="0" fillId="0" borderId="0" xfId="0" applyNumberFormat="1" applyAlignment="1">
      <alignment vertical="top"/>
    </xf>
    <xf numFmtId="17" fontId="0" fillId="0" borderId="0" xfId="0" applyNumberFormat="1" applyAlignment="1">
      <alignment vertical="top" wrapText="1"/>
    </xf>
    <xf numFmtId="17" fontId="0" fillId="0" borderId="0" xfId="0" applyNumberFormat="1" applyAlignment="1">
      <alignment horizontal="center" vertical="top"/>
    </xf>
    <xf numFmtId="14" fontId="0" fillId="0" borderId="0" xfId="0" applyNumberFormat="1" applyFill="1" applyBorder="1" applyAlignment="1">
      <alignment horizontal="center"/>
    </xf>
    <xf numFmtId="0" fontId="10" fillId="0" borderId="0" xfId="0" applyFont="1" applyAlignment="1">
      <alignment vertical="top" wrapText="1"/>
    </xf>
    <xf numFmtId="166" fontId="4" fillId="0" borderId="0" xfId="0" quotePrefix="1" applyNumberFormat="1" applyFont="1" applyAlignment="1">
      <alignment horizontal="left"/>
    </xf>
    <xf numFmtId="0" fontId="1" fillId="2" borderId="0" xfId="0" applyFont="1" applyFill="1" applyBorder="1" applyAlignment="1">
      <alignment horizontal="center" wrapText="1"/>
    </xf>
    <xf numFmtId="0" fontId="11" fillId="4" borderId="0" xfId="1" applyAlignment="1">
      <alignment vertical="top" wrapText="1"/>
    </xf>
    <xf numFmtId="0" fontId="11" fillId="4" borderId="0" xfId="1" applyAlignment="1">
      <alignment horizontal="center" vertical="top"/>
    </xf>
    <xf numFmtId="0" fontId="11" fillId="4" borderId="0" xfId="1" applyAlignment="1">
      <alignment vertical="top"/>
    </xf>
    <xf numFmtId="0" fontId="0" fillId="0" borderId="0" xfId="0" applyNumberFormat="1" applyAlignment="1">
      <alignment horizontal="center"/>
    </xf>
    <xf numFmtId="167" fontId="0" fillId="0" borderId="0" xfId="0" applyNumberFormat="1" applyAlignment="1">
      <alignment horizontal="left"/>
    </xf>
    <xf numFmtId="0" fontId="8" fillId="2" borderId="0" xfId="0" applyFont="1" applyFill="1" applyBorder="1" applyAlignment="1">
      <alignment horizontal="center" wrapText="1"/>
    </xf>
    <xf numFmtId="0" fontId="1" fillId="2" borderId="0" xfId="0" applyFont="1" applyFill="1" applyBorder="1" applyAlignment="1">
      <alignment horizontal="center" wrapText="1"/>
    </xf>
  </cellXfs>
  <cellStyles count="2">
    <cellStyle name="Normal" xfId="0" builtinId="0"/>
    <cellStyle name="Satisfaisant" xfId="1" builtinId="26"/>
  </cellStyles>
  <dxfs count="61"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ont>
        <b/>
        <i val="0"/>
        <condense val="0"/>
        <extend val="0"/>
      </font>
    </dxf>
    <dxf>
      <font>
        <condense val="0"/>
        <extend val="0"/>
        <color indexed="54"/>
      </font>
    </dxf>
    <dxf>
      <font>
        <condense val="0"/>
        <extend val="0"/>
        <color indexed="9"/>
      </font>
    </dxf>
    <dxf>
      <font>
        <b/>
        <i val="0"/>
        <condense val="0"/>
        <extend val="0"/>
      </font>
    </dxf>
    <dxf>
      <font>
        <condense val="0"/>
        <extend val="0"/>
        <color indexed="54"/>
      </font>
    </dxf>
    <dxf>
      <font>
        <b/>
        <i val="0"/>
        <condense val="0"/>
        <extend val="0"/>
      </font>
    </dxf>
    <dxf>
      <font>
        <condense val="0"/>
        <extend val="0"/>
        <color indexed="54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Verdana"/>
                <a:ea typeface="Verdana"/>
                <a:cs typeface="Verdana"/>
              </a:defRPr>
            </a:pPr>
            <a:r>
              <a:rPr lang="en-US"/>
              <a:t>Velocity and Remaining Work</a:t>
            </a:r>
          </a:p>
        </c:rich>
      </c:tx>
      <c:layout>
        <c:manualLayout>
          <c:xMode val="edge"/>
          <c:yMode val="edge"/>
          <c:x val="0.20739241270405881"/>
          <c:y val="1.5822784810126583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8295776413084351E-2"/>
          <c:y val="0.12658247407547046"/>
          <c:w val="0.88295776413084348"/>
          <c:h val="0.76582396815659637"/>
        </c:manualLayout>
      </c:layout>
      <c:lineChart>
        <c:grouping val="standard"/>
        <c:varyColors val="0"/>
        <c:ser>
          <c:idx val="0"/>
          <c:order val="0"/>
          <c:tx>
            <c:v>Remaining Work</c:v>
          </c:tx>
          <c:spPr>
            <a:ln w="28575">
              <a:noFill/>
            </a:ln>
          </c:spPr>
          <c:marker>
            <c:symbol val="none"/>
          </c:marker>
          <c:val>
            <c:numRef>
              <c:f>[0]!ColTopRemainingWork</c:f>
              <c:numCache>
                <c:formatCode>General</c:formatCode>
                <c:ptCount val="1"/>
                <c:pt idx="0">
                  <c:v>105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BDD-470A-98E9-208AFF30AA6A}"/>
            </c:ext>
          </c:extLst>
        </c:ser>
        <c:ser>
          <c:idx val="1"/>
          <c:order val="1"/>
          <c:spPr>
            <a:ln w="28575">
              <a:noFill/>
            </a:ln>
          </c:spPr>
          <c:marker>
            <c:symbol val="none"/>
          </c:marker>
          <c:val>
            <c:numRef>
              <c:f>[0]!ColTopRemainingWork</c:f>
              <c:numCache>
                <c:formatCode>General</c:formatCode>
                <c:ptCount val="1"/>
                <c:pt idx="0">
                  <c:v>105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BDD-470A-98E9-208AFF30AA6A}"/>
            </c:ext>
          </c:extLst>
        </c:ser>
        <c:ser>
          <c:idx val="5"/>
          <c:order val="2"/>
          <c:tx>
            <c:v>Current bottom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val>
            <c:numRef>
              <c:f>[0]!PBCurrentBottom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BDD-470A-98E9-208AFF30AA6A}"/>
            </c:ext>
          </c:extLst>
        </c:ser>
        <c:ser>
          <c:idx val="2"/>
          <c:order val="3"/>
          <c:spPr>
            <a:ln w="28575">
              <a:noFill/>
            </a:ln>
          </c:spPr>
          <c:marker>
            <c:symbol val="none"/>
          </c:marker>
          <c:val>
            <c:numRef>
              <c:f>[0]!ColBottomCurrentScope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BDD-470A-98E9-208AFF30AA6A}"/>
            </c:ext>
          </c:extLst>
        </c:ser>
        <c:ser>
          <c:idx val="4"/>
          <c:order val="4"/>
          <c:tx>
            <c:v>Trend</c:v>
          </c:tx>
          <c:spPr>
            <a:ln w="25400">
              <a:solidFill>
                <a:srgbClr val="80008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800080"/>
              </a:solidFill>
              <a:ln>
                <a:solidFill>
                  <a:srgbClr val="800080"/>
                </a:solidFill>
                <a:prstDash val="solid"/>
              </a:ln>
            </c:spPr>
          </c:marker>
          <c:val>
            <c:numRef>
              <c:f>[0]!PBTrend</c:f>
              <c:numCache>
                <c:formatCode>General</c:formatCode>
                <c:ptCount val="1"/>
                <c:pt idx="0">
                  <c:v>105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BDD-470A-98E9-208AFF30AA6A}"/>
            </c:ext>
          </c:extLst>
        </c:ser>
        <c:ser>
          <c:idx val="3"/>
          <c:order val="5"/>
          <c:tx>
            <c:v>Current Scope</c:v>
          </c:tx>
          <c:spPr>
            <a:ln w="28575">
              <a:noFill/>
            </a:ln>
          </c:spPr>
          <c:marker>
            <c:symbol val="none"/>
          </c:marker>
          <c:val>
            <c:numRef>
              <c:f>[0]!ColBottomCurrentScope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5BDD-470A-98E9-208AFF30AA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upDownBars>
          <c:gapWidth val="30"/>
          <c:upBars>
            <c:spPr>
              <a:solidFill>
                <a:srgbClr val="FFFFFF"/>
              </a:solidFill>
              <a:ln w="3175">
                <a:solidFill>
                  <a:srgbClr val="000000"/>
                </a:solidFill>
                <a:prstDash val="solid"/>
              </a:ln>
            </c:spPr>
          </c:upBars>
          <c:downBars>
            <c:spPr>
              <a:solidFill>
                <a:srgbClr val="9999FF"/>
              </a:solidFill>
              <a:ln w="3175">
                <a:solidFill>
                  <a:srgbClr val="000000"/>
                </a:solidFill>
                <a:prstDash val="solid"/>
              </a:ln>
            </c:spPr>
          </c:downBars>
        </c:upDownBars>
        <c:smooth val="0"/>
        <c:axId val="1647332656"/>
        <c:axId val="1"/>
      </c:lineChart>
      <c:catAx>
        <c:axId val="16473326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"/>
        <c:crosses val="autoZero"/>
        <c:auto val="1"/>
        <c:lblAlgn val="ctr"/>
        <c:lblOffset val="200"/>
        <c:tickLblSkip val="1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647332656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9" l="0.78740157499999996" r="0.78740157499999996" t="0.984251969" header="0.5" footer="0.5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Verdana"/>
                <a:ea typeface="Verdana"/>
                <a:cs typeface="Verdana"/>
              </a:defRPr>
            </a:pPr>
            <a:r>
              <a:rPr lang="en-US"/>
              <a:t>Development Velocity</a:t>
            </a:r>
          </a:p>
        </c:rich>
      </c:tx>
      <c:layout>
        <c:manualLayout>
          <c:xMode val="edge"/>
          <c:yMode val="edge"/>
          <c:x val="0.28131438395662556"/>
          <c:y val="3.438395415472779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0349166562225844E-2"/>
          <c:y val="0.13753600904370894"/>
          <c:w val="0.87885098383256044"/>
          <c:h val="0.65043070943587344"/>
        </c:manualLayout>
      </c:layout>
      <c:barChart>
        <c:barDir val="col"/>
        <c:grouping val="clustered"/>
        <c:varyColors val="0"/>
        <c:ser>
          <c:idx val="4"/>
          <c:order val="0"/>
          <c:tx>
            <c:v>Planned Speed</c:v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[0]!PlannedSpeed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EF6B-437F-BDEF-BB99C190DC8F}"/>
            </c:ext>
          </c:extLst>
        </c:ser>
        <c:ser>
          <c:idx val="0"/>
          <c:order val="1"/>
          <c:tx>
            <c:v>Realized Speed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[0]!RealizedSpeed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1-EF6B-437F-BDEF-BB99C190DC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647329056"/>
        <c:axId val="1"/>
      </c:barChart>
      <c:lineChart>
        <c:grouping val="standard"/>
        <c:varyColors val="0"/>
        <c:ser>
          <c:idx val="1"/>
          <c:order val="2"/>
          <c:tx>
            <c:v>Average Realized</c:v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val>
            <c:numRef>
              <c:f>[0]!AverageSpeedRealized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F6B-437F-BDEF-BB99C190DC8F}"/>
            </c:ext>
          </c:extLst>
        </c:ser>
        <c:ser>
          <c:idx val="2"/>
          <c:order val="3"/>
          <c:tx>
            <c:v>Avg. Last 8</c:v>
          </c:tx>
          <c:spPr>
            <a:ln w="25400">
              <a:solidFill>
                <a:srgbClr val="008000"/>
              </a:solidFill>
              <a:prstDash val="lgDashDotDot"/>
            </a:ln>
          </c:spPr>
          <c:marker>
            <c:symbol val="none"/>
          </c:marker>
          <c:val>
            <c:numRef>
              <c:f>[0]!AverageSpeedLastEight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F6B-437F-BDEF-BB99C190DC8F}"/>
            </c:ext>
          </c:extLst>
        </c:ser>
        <c:ser>
          <c:idx val="3"/>
          <c:order val="4"/>
          <c:tx>
            <c:v>Avg. Worst 3 in Last 8</c:v>
          </c:tx>
          <c:spPr>
            <a:ln w="25400">
              <a:solidFill>
                <a:srgbClr val="0000FF"/>
              </a:solidFill>
              <a:prstDash val="sysDash"/>
            </a:ln>
          </c:spPr>
          <c:marker>
            <c:symbol val="none"/>
          </c:marker>
          <c:val>
            <c:numRef>
              <c:f>[0]!AverageSpeedWorstThree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F6B-437F-BDEF-BB99C190DC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47329056"/>
        <c:axId val="1"/>
      </c:lineChart>
      <c:catAx>
        <c:axId val="16473290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647329056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7.3924342619390238E-2"/>
          <c:y val="0.87395468116628694"/>
          <c:w val="0.8521827892663314"/>
          <c:h val="0.10602080184103058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fr-FR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9" l="0.78740157499999996" r="0.78740157499999996" t="0.984251969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845828933474128"/>
          <c:y val="8.8235610910252865E-2"/>
          <c:w val="0.81731784582893352"/>
          <c:h val="0.8308853360715478"/>
        </c:manualLayout>
      </c:layout>
      <c:barChart>
        <c:barDir val="col"/>
        <c:grouping val="clustered"/>
        <c:varyColors val="0"/>
        <c:ser>
          <c:idx val="0"/>
          <c:order val="0"/>
          <c:tx>
            <c:v>Daily Progress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Sp0!$F$10:$AD$10</c:f>
              <c:numCache>
                <c:formatCode>General</c:formatCode>
                <c:ptCount val="25"/>
                <c:pt idx="0">
                  <c:v>6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9A7-4553-9C4A-C6D0E6E886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47329856"/>
        <c:axId val="1"/>
      </c:barChart>
      <c:lineChart>
        <c:grouping val="standard"/>
        <c:varyColors val="0"/>
        <c:ser>
          <c:idx val="1"/>
          <c:order val="1"/>
          <c:tx>
            <c:v>Ideal Progress</c:v>
          </c:tx>
          <c:spPr>
            <a:ln w="12700">
              <a:solidFill>
                <a:srgbClr val="969696"/>
              </a:solidFill>
              <a:prstDash val="solid"/>
            </a:ln>
          </c:spPr>
          <c:marker>
            <c:symbol val="none"/>
          </c:marker>
          <c:val>
            <c:numRef>
              <c:f>Sp0!$F$11:$AD$11</c:f>
              <c:numCache>
                <c:formatCode>General</c:formatCode>
                <c:ptCount val="25"/>
                <c:pt idx="0">
                  <c:v>14</c:v>
                </c:pt>
                <c:pt idx="1">
                  <c:v>11.2</c:v>
                </c:pt>
                <c:pt idx="2">
                  <c:v>8.4</c:v>
                </c:pt>
                <c:pt idx="3">
                  <c:v>5.6000000000000014</c:v>
                </c:pt>
                <c:pt idx="4">
                  <c:v>2.8000000000000007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9A7-4553-9C4A-C6D0E6E88631}"/>
            </c:ext>
          </c:extLst>
        </c:ser>
        <c:ser>
          <c:idx val="2"/>
          <c:order val="2"/>
          <c:tx>
            <c:v>Current Trend</c:v>
          </c:tx>
          <c:spPr>
            <a:ln w="3175">
              <a:solidFill>
                <a:srgbClr val="0000FF"/>
              </a:solidFill>
              <a:prstDash val="solid"/>
            </a:ln>
          </c:spPr>
          <c:marker>
            <c:symbol val="none"/>
          </c:marker>
          <c:val>
            <c:numRef>
              <c:f>Sp0!$F$12:$AD$12</c:f>
              <c:numCache>
                <c:formatCode>General</c:formatCode>
                <c:ptCount val="25"/>
                <c:pt idx="0">
                  <c:v>6</c:v>
                </c:pt>
                <c:pt idx="1">
                  <c:v>6</c:v>
                </c:pt>
                <c:pt idx="2">
                  <c:v>6</c:v>
                </c:pt>
                <c:pt idx="3">
                  <c:v>6</c:v>
                </c:pt>
                <c:pt idx="4">
                  <c:v>6</c:v>
                </c:pt>
                <c:pt idx="5">
                  <c:v>6</c:v>
                </c:pt>
                <c:pt idx="6">
                  <c:v>6</c:v>
                </c:pt>
                <c:pt idx="7">
                  <c:v>6</c:v>
                </c:pt>
                <c:pt idx="8">
                  <c:v>6</c:v>
                </c:pt>
                <c:pt idx="9">
                  <c:v>6</c:v>
                </c:pt>
                <c:pt idx="10">
                  <c:v>6</c:v>
                </c:pt>
                <c:pt idx="11">
                  <c:v>6</c:v>
                </c:pt>
                <c:pt idx="12">
                  <c:v>6</c:v>
                </c:pt>
                <c:pt idx="13">
                  <c:v>6</c:v>
                </c:pt>
                <c:pt idx="14">
                  <c:v>6</c:v>
                </c:pt>
                <c:pt idx="15">
                  <c:v>6</c:v>
                </c:pt>
                <c:pt idx="16">
                  <c:v>6</c:v>
                </c:pt>
                <c:pt idx="17">
                  <c:v>6</c:v>
                </c:pt>
                <c:pt idx="18">
                  <c:v>6</c:v>
                </c:pt>
                <c:pt idx="19">
                  <c:v>6</c:v>
                </c:pt>
                <c:pt idx="20">
                  <c:v>6</c:v>
                </c:pt>
                <c:pt idx="21">
                  <c:v>6</c:v>
                </c:pt>
                <c:pt idx="22">
                  <c:v>6</c:v>
                </c:pt>
                <c:pt idx="23">
                  <c:v>6</c:v>
                </c:pt>
                <c:pt idx="24">
                  <c:v>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9A7-4553-9C4A-C6D0E6E886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47329856"/>
        <c:axId val="1"/>
      </c:lineChart>
      <c:catAx>
        <c:axId val="1647329856"/>
        <c:scaling>
          <c:orientation val="minMax"/>
        </c:scaling>
        <c:delete val="1"/>
        <c:axPos val="b"/>
        <c:majorTickMark val="out"/>
        <c:minorTickMark val="none"/>
        <c:tickLblPos val="nextTo"/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CA"/>
                  <a:t>Work Remaining (h)</a:t>
                </a:r>
              </a:p>
            </c:rich>
          </c:tx>
          <c:layout>
            <c:manualLayout>
              <c:xMode val="edge"/>
              <c:yMode val="edge"/>
              <c:x val="0.13938753959873285"/>
              <c:y val="0.1397066543152694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647329856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8.4479513978387346E-3"/>
          <c:y val="6.6178786475220019E-2"/>
          <c:w val="0.11404789818379356"/>
          <c:h val="0.4264875714065153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fr-FR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9" l="0.78740157499999996" r="0.78740157499999996" t="0.984251969" header="0.5" footer="0.5"/>
    <c:pageSetup paperSize="9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634635691657866"/>
          <c:y val="8.8235610910252865E-2"/>
          <c:w val="0.81942977824709606"/>
          <c:h val="0.8308853360715478"/>
        </c:manualLayout>
      </c:layout>
      <c:barChart>
        <c:barDir val="col"/>
        <c:grouping val="clustered"/>
        <c:varyColors val="0"/>
        <c:ser>
          <c:idx val="0"/>
          <c:order val="0"/>
          <c:tx>
            <c:v>Daily Progress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'Sp1'!$F$10:$AD$10</c:f>
              <c:numCache>
                <c:formatCode>General</c:formatCode>
                <c:ptCount val="25"/>
                <c:pt idx="0">
                  <c:v>41</c:v>
                </c:pt>
                <c:pt idx="1">
                  <c:v>35</c:v>
                </c:pt>
                <c:pt idx="2">
                  <c:v>27.5</c:v>
                </c:pt>
                <c:pt idx="3">
                  <c:v>21</c:v>
                </c:pt>
                <c:pt idx="4">
                  <c:v>16.5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77-4616-B478-FFDD926CE3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47330256"/>
        <c:axId val="1"/>
      </c:barChart>
      <c:lineChart>
        <c:grouping val="standard"/>
        <c:varyColors val="0"/>
        <c:ser>
          <c:idx val="1"/>
          <c:order val="1"/>
          <c:tx>
            <c:v>Ideal Progress</c:v>
          </c:tx>
          <c:spPr>
            <a:ln w="12700">
              <a:solidFill>
                <a:srgbClr val="969696"/>
              </a:solidFill>
              <a:prstDash val="solid"/>
            </a:ln>
          </c:spPr>
          <c:marker>
            <c:symbol val="none"/>
          </c:marker>
          <c:val>
            <c:numRef>
              <c:f>'Sp1'!$F$11:$AD$11</c:f>
              <c:numCache>
                <c:formatCode>General</c:formatCode>
                <c:ptCount val="25"/>
                <c:pt idx="0">
                  <c:v>49</c:v>
                </c:pt>
                <c:pt idx="1">
                  <c:v>39.200000000000003</c:v>
                </c:pt>
                <c:pt idx="2">
                  <c:v>29.4</c:v>
                </c:pt>
                <c:pt idx="3">
                  <c:v>19.599999999999998</c:v>
                </c:pt>
                <c:pt idx="4">
                  <c:v>9.7999999999999972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077-4616-B478-FFDD926CE3C0}"/>
            </c:ext>
          </c:extLst>
        </c:ser>
        <c:ser>
          <c:idx val="2"/>
          <c:order val="2"/>
          <c:tx>
            <c:v>Current Trend</c:v>
          </c:tx>
          <c:spPr>
            <a:ln w="3175">
              <a:solidFill>
                <a:srgbClr val="0000FF"/>
              </a:solidFill>
              <a:prstDash val="solid"/>
            </a:ln>
          </c:spPr>
          <c:marker>
            <c:symbol val="none"/>
          </c:marker>
          <c:val>
            <c:numRef>
              <c:f>'Sp1'!$F$12:$AD$12</c:f>
              <c:numCache>
                <c:formatCode>General</c:formatCode>
                <c:ptCount val="25"/>
                <c:pt idx="0">
                  <c:v>40.799999999999997</c:v>
                </c:pt>
                <c:pt idx="1">
                  <c:v>34.5</c:v>
                </c:pt>
                <c:pt idx="2">
                  <c:v>28.199999999999996</c:v>
                </c:pt>
                <c:pt idx="3">
                  <c:v>21.9</c:v>
                </c:pt>
                <c:pt idx="4">
                  <c:v>15.600000000000001</c:v>
                </c:pt>
                <c:pt idx="5">
                  <c:v>9.2999999999999972</c:v>
                </c:pt>
                <c:pt idx="6">
                  <c:v>3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077-4616-B478-FFDD926CE3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47330256"/>
        <c:axId val="1"/>
      </c:lineChart>
      <c:catAx>
        <c:axId val="1647330256"/>
        <c:scaling>
          <c:orientation val="minMax"/>
        </c:scaling>
        <c:delete val="1"/>
        <c:axPos val="b"/>
        <c:majorTickMark val="out"/>
        <c:minorTickMark val="none"/>
        <c:tickLblPos val="nextTo"/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Work Remaining (h)</a:t>
                </a:r>
              </a:p>
            </c:rich>
          </c:tx>
          <c:layout>
            <c:manualLayout>
              <c:xMode val="edge"/>
              <c:yMode val="edge"/>
              <c:x val="0.13938757655293088"/>
              <c:y val="0.1397061934422376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647330256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7.3919900139871051E-3"/>
          <c:y val="5.1472558467504995E-2"/>
          <c:w val="0.11404784593008677"/>
          <c:h val="0.41178125122419396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fr-FR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9" l="0.78740157499999996" r="0.78740157499999996" t="0.984251969" header="0.5" footer="0.5"/>
    <c:pageSetup paperSize="9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845828933474128"/>
          <c:y val="8.8235610910252865E-2"/>
          <c:w val="0.81731784582893352"/>
          <c:h val="0.8308853360715478"/>
        </c:manualLayout>
      </c:layout>
      <c:barChart>
        <c:barDir val="col"/>
        <c:grouping val="clustered"/>
        <c:varyColors val="0"/>
        <c:ser>
          <c:idx val="0"/>
          <c:order val="0"/>
          <c:tx>
            <c:v>Daily Progress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'Sp2'!$F$10:$AD$10</c:f>
              <c:numCache>
                <c:formatCode>General</c:formatCode>
                <c:ptCount val="25"/>
                <c:pt idx="0">
                  <c:v>72.5</c:v>
                </c:pt>
                <c:pt idx="1">
                  <c:v>63.5</c:v>
                </c:pt>
                <c:pt idx="2">
                  <c:v>58</c:v>
                </c:pt>
                <c:pt idx="3">
                  <c:v>42.5</c:v>
                </c:pt>
                <c:pt idx="4">
                  <c:v>35</c:v>
                </c:pt>
                <c:pt idx="5">
                  <c:v>31.5</c:v>
                </c:pt>
                <c:pt idx="6">
                  <c:v>16</c:v>
                </c:pt>
                <c:pt idx="7">
                  <c:v>8</c:v>
                </c:pt>
                <c:pt idx="8">
                  <c:v>7.5</c:v>
                </c:pt>
                <c:pt idx="9">
                  <c:v>7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FA-4FD2-9E11-8415415224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47331856"/>
        <c:axId val="1"/>
      </c:barChart>
      <c:lineChart>
        <c:grouping val="standard"/>
        <c:varyColors val="0"/>
        <c:ser>
          <c:idx val="1"/>
          <c:order val="1"/>
          <c:tx>
            <c:v>Ideal Progress</c:v>
          </c:tx>
          <c:spPr>
            <a:ln w="12700">
              <a:solidFill>
                <a:srgbClr val="969696"/>
              </a:solidFill>
              <a:prstDash val="solid"/>
            </a:ln>
          </c:spPr>
          <c:marker>
            <c:symbol val="none"/>
          </c:marker>
          <c:val>
            <c:numRef>
              <c:f>'Sp2'!$F$11:$AD$11</c:f>
              <c:numCache>
                <c:formatCode>General</c:formatCode>
                <c:ptCount val="25"/>
                <c:pt idx="0">
                  <c:v>79.5</c:v>
                </c:pt>
                <c:pt idx="1">
                  <c:v>71.55</c:v>
                </c:pt>
                <c:pt idx="2">
                  <c:v>63.6</c:v>
                </c:pt>
                <c:pt idx="3">
                  <c:v>55.65</c:v>
                </c:pt>
                <c:pt idx="4">
                  <c:v>47.7</c:v>
                </c:pt>
                <c:pt idx="5">
                  <c:v>39.75</c:v>
                </c:pt>
                <c:pt idx="6">
                  <c:v>31.799999999999997</c:v>
                </c:pt>
                <c:pt idx="7">
                  <c:v>23.85</c:v>
                </c:pt>
                <c:pt idx="8">
                  <c:v>15.899999999999999</c:v>
                </c:pt>
                <c:pt idx="9">
                  <c:v>7.9500000000000028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7FA-4FD2-9E11-8415415224DC}"/>
            </c:ext>
          </c:extLst>
        </c:ser>
        <c:ser>
          <c:idx val="2"/>
          <c:order val="2"/>
          <c:tx>
            <c:v>Current Trend</c:v>
          </c:tx>
          <c:spPr>
            <a:ln w="3175">
              <a:solidFill>
                <a:srgbClr val="0000FF"/>
              </a:solidFill>
              <a:prstDash val="solid"/>
            </a:ln>
          </c:spPr>
          <c:marker>
            <c:symbol val="none"/>
          </c:marker>
          <c:val>
            <c:numRef>
              <c:f>'Sp2'!$F$12:$AD$12</c:f>
              <c:numCache>
                <c:formatCode>General</c:formatCode>
                <c:ptCount val="25"/>
                <c:pt idx="0">
                  <c:v>54.249999999999993</c:v>
                </c:pt>
                <c:pt idx="1">
                  <c:v>48.499999999999993</c:v>
                </c:pt>
                <c:pt idx="2">
                  <c:v>42.75</c:v>
                </c:pt>
                <c:pt idx="3">
                  <c:v>37</c:v>
                </c:pt>
                <c:pt idx="4">
                  <c:v>31.249999999999996</c:v>
                </c:pt>
                <c:pt idx="5">
                  <c:v>25.5</c:v>
                </c:pt>
                <c:pt idx="6">
                  <c:v>19.75</c:v>
                </c:pt>
                <c:pt idx="7">
                  <c:v>14</c:v>
                </c:pt>
                <c:pt idx="8">
                  <c:v>8.25</c:v>
                </c:pt>
                <c:pt idx="9">
                  <c:v>2.5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7FA-4FD2-9E11-8415415224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47331856"/>
        <c:axId val="1"/>
      </c:lineChart>
      <c:catAx>
        <c:axId val="1647331856"/>
        <c:scaling>
          <c:orientation val="minMax"/>
        </c:scaling>
        <c:delete val="1"/>
        <c:axPos val="b"/>
        <c:majorTickMark val="out"/>
        <c:minorTickMark val="none"/>
        <c:tickLblPos val="nextTo"/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Work Remaining (h)</a:t>
                </a:r>
              </a:p>
            </c:rich>
          </c:tx>
          <c:layout>
            <c:manualLayout>
              <c:xMode val="edge"/>
              <c:yMode val="edge"/>
              <c:x val="0.13938750233103153"/>
              <c:y val="0.1397066543152694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647331856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8.4479365848091903E-3"/>
          <c:y val="6.6178786475220019E-2"/>
          <c:w val="0.11299181981891712"/>
          <c:h val="0.4264875714065153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fr-FR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9" l="0.78740157499999996" r="0.78740157499999996" t="0.984251969" header="0.5" footer="0.5"/>
    <c:pageSetup paperSize="9" orientation="landscape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845828933474128"/>
          <c:y val="8.8235610910252865E-2"/>
          <c:w val="0.81731784582893352"/>
          <c:h val="0.8308853360715478"/>
        </c:manualLayout>
      </c:layout>
      <c:barChart>
        <c:barDir val="col"/>
        <c:grouping val="clustered"/>
        <c:varyColors val="0"/>
        <c:ser>
          <c:idx val="0"/>
          <c:order val="0"/>
          <c:tx>
            <c:v>Daily Progress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'Sp3'!$F$10:$AD$10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4AF-4147-A37D-3784E095EC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47330656"/>
        <c:axId val="1"/>
      </c:barChart>
      <c:lineChart>
        <c:grouping val="standard"/>
        <c:varyColors val="0"/>
        <c:ser>
          <c:idx val="1"/>
          <c:order val="1"/>
          <c:tx>
            <c:v>Ideal Progress</c:v>
          </c:tx>
          <c:spPr>
            <a:ln w="12700">
              <a:solidFill>
                <a:srgbClr val="969696"/>
              </a:solidFill>
              <a:prstDash val="solid"/>
            </a:ln>
          </c:spPr>
          <c:marker>
            <c:symbol val="none"/>
          </c:marker>
          <c:val>
            <c:numRef>
              <c:f>'Sp3'!$F$11:$AD$11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4AF-4147-A37D-3784E095EC4B}"/>
            </c:ext>
          </c:extLst>
        </c:ser>
        <c:ser>
          <c:idx val="2"/>
          <c:order val="2"/>
          <c:tx>
            <c:v>Current Trend</c:v>
          </c:tx>
          <c:spPr>
            <a:ln w="3175">
              <a:solidFill>
                <a:srgbClr val="0000FF"/>
              </a:solidFill>
              <a:prstDash val="solid"/>
            </a:ln>
          </c:spPr>
          <c:marker>
            <c:symbol val="none"/>
          </c:marker>
          <c:val>
            <c:numRef>
              <c:f>'Sp3'!$F$12:$AD$12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4AF-4147-A37D-3784E095EC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47330656"/>
        <c:axId val="1"/>
      </c:lineChart>
      <c:catAx>
        <c:axId val="1647330656"/>
        <c:scaling>
          <c:orientation val="minMax"/>
        </c:scaling>
        <c:delete val="1"/>
        <c:axPos val="b"/>
        <c:majorTickMark val="out"/>
        <c:minorTickMark val="none"/>
        <c:tickLblPos val="nextTo"/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Work Remaining (h)</a:t>
                </a:r>
              </a:p>
            </c:rich>
          </c:tx>
          <c:layout>
            <c:manualLayout>
              <c:xMode val="edge"/>
              <c:yMode val="edge"/>
              <c:x val="0.13938750233103153"/>
              <c:y val="0.1397066543152694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647330656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wMode val="edge"/>
          <c:hMode val="edge"/>
          <c:x val="8.4479365848091903E-3"/>
          <c:y val="6.6178786475220019E-2"/>
          <c:w val="0.12143975640372631"/>
          <c:h val="0.4926663578817354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fr-FR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9" l="0.78740157499999996" r="0.78740157499999996" t="0.984251969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845828933474128"/>
          <c:y val="8.8235610910252865E-2"/>
          <c:w val="0.81731784582893352"/>
          <c:h val="0.8308853360715478"/>
        </c:manualLayout>
      </c:layout>
      <c:barChart>
        <c:barDir val="col"/>
        <c:grouping val="clustered"/>
        <c:varyColors val="0"/>
        <c:ser>
          <c:idx val="0"/>
          <c:order val="0"/>
          <c:tx>
            <c:v>Daily Progress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'Sprint Sheet Template'!$F$10:$AD$10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73-43E5-A7AC-DE49099491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47333056"/>
        <c:axId val="1"/>
      </c:barChart>
      <c:lineChart>
        <c:grouping val="standard"/>
        <c:varyColors val="0"/>
        <c:ser>
          <c:idx val="1"/>
          <c:order val="1"/>
          <c:tx>
            <c:v>Ideal Progress</c:v>
          </c:tx>
          <c:spPr>
            <a:ln w="12700">
              <a:solidFill>
                <a:srgbClr val="969696"/>
              </a:solidFill>
              <a:prstDash val="solid"/>
            </a:ln>
          </c:spPr>
          <c:marker>
            <c:symbol val="none"/>
          </c:marker>
          <c:val>
            <c:numRef>
              <c:f>'Sprint Sheet Template'!$F$11:$AD$11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973-43E5-A7AC-DE4909949116}"/>
            </c:ext>
          </c:extLst>
        </c:ser>
        <c:ser>
          <c:idx val="2"/>
          <c:order val="2"/>
          <c:tx>
            <c:v>Current Trend</c:v>
          </c:tx>
          <c:spPr>
            <a:ln w="3175">
              <a:solidFill>
                <a:srgbClr val="0000FF"/>
              </a:solidFill>
              <a:prstDash val="solid"/>
            </a:ln>
          </c:spPr>
          <c:marker>
            <c:symbol val="none"/>
          </c:marker>
          <c:val>
            <c:numRef>
              <c:f>'Sprint Sheet Template'!$F$12:$AD$12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973-43E5-A7AC-DE49099491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47333056"/>
        <c:axId val="1"/>
      </c:lineChart>
      <c:catAx>
        <c:axId val="1647333056"/>
        <c:scaling>
          <c:orientation val="minMax"/>
        </c:scaling>
        <c:delete val="1"/>
        <c:axPos val="b"/>
        <c:majorTickMark val="out"/>
        <c:minorTickMark val="none"/>
        <c:tickLblPos val="nextTo"/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Work Remaining (h)</a:t>
                </a:r>
              </a:p>
            </c:rich>
          </c:tx>
          <c:layout>
            <c:manualLayout>
              <c:xMode val="edge"/>
              <c:yMode val="edge"/>
              <c:x val="0.13938753959873285"/>
              <c:y val="0.1397066543152694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647333056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wMode val="edge"/>
          <c:hMode val="edge"/>
          <c:x val="8.4479513978387346E-3"/>
          <c:y val="6.6178786475220019E-2"/>
          <c:w val="0.12249584958163229"/>
          <c:h val="0.4926663578817354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fr-FR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9" l="0.78740157499999996" r="0.78740157499999996" t="0.984251969" header="0.5" footer="0.5"/>
    <c:pageSetup paperSize="9" orientation="landscape"/>
  </c:printSettings>
</c:chartSpac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85725</xdr:colOff>
      <xdr:row>0</xdr:row>
      <xdr:rowOff>95250</xdr:rowOff>
    </xdr:from>
    <xdr:to>
      <xdr:col>6</xdr:col>
      <xdr:colOff>914400</xdr:colOff>
      <xdr:row>1</xdr:row>
      <xdr:rowOff>85725</xdr:rowOff>
    </xdr:to>
    <xdr:sp macro="" textlink="">
      <xdr:nvSpPr>
        <xdr:cNvPr id="8196" name="Button 4" hidden="1">
          <a:extLst>
            <a:ext uri="{63B3BB69-23CF-44E3-9099-C40C66FF867C}">
              <a14:compatExt xmlns:a14="http://schemas.microsoft.com/office/drawing/2010/main" spid="_x0000_s8196"/>
            </a:ext>
            <a:ext uri="{FF2B5EF4-FFF2-40B4-BE49-F238E27FC236}">
              <a16:creationId xmlns:a16="http://schemas.microsoft.com/office/drawing/2014/main" id="{5A1E73CE-97E0-4516-BC05-D28D5860843B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 Product Backlog</a:t>
          </a:r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219075</xdr:colOff>
      <xdr:row>1</xdr:row>
      <xdr:rowOff>47625</xdr:rowOff>
    </xdr:from>
    <xdr:to>
      <xdr:col>24</xdr:col>
      <xdr:colOff>676275</xdr:colOff>
      <xdr:row>19</xdr:row>
      <xdr:rowOff>142875</xdr:rowOff>
    </xdr:to>
    <xdr:graphicFrame macro="">
      <xdr:nvGraphicFramePr>
        <xdr:cNvPr id="18698" name="Graphique 2">
          <a:extLst>
            <a:ext uri="{FF2B5EF4-FFF2-40B4-BE49-F238E27FC236}">
              <a16:creationId xmlns:a16="http://schemas.microsoft.com/office/drawing/2014/main" id="{76B7F766-6813-452A-8E42-72E0476D1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228600</xdr:colOff>
      <xdr:row>20</xdr:row>
      <xdr:rowOff>47625</xdr:rowOff>
    </xdr:from>
    <xdr:to>
      <xdr:col>24</xdr:col>
      <xdr:colOff>695325</xdr:colOff>
      <xdr:row>39</xdr:row>
      <xdr:rowOff>123825</xdr:rowOff>
    </xdr:to>
    <xdr:graphicFrame macro="">
      <xdr:nvGraphicFramePr>
        <xdr:cNvPr id="18699" name="Graphique 17">
          <a:extLst>
            <a:ext uri="{FF2B5EF4-FFF2-40B4-BE49-F238E27FC236}">
              <a16:creationId xmlns:a16="http://schemas.microsoft.com/office/drawing/2014/main" id="{A367F19C-BB87-4BF1-916C-78CD6C09E82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485775</xdr:colOff>
      <xdr:row>0</xdr:row>
      <xdr:rowOff>38100</xdr:rowOff>
    </xdr:from>
    <xdr:to>
      <xdr:col>30</xdr:col>
      <xdr:colOff>57150</xdr:colOff>
      <xdr:row>7</xdr:row>
      <xdr:rowOff>133350</xdr:rowOff>
    </xdr:to>
    <xdr:graphicFrame macro="">
      <xdr:nvGraphicFramePr>
        <xdr:cNvPr id="636949" name="Graphique 2">
          <a:extLst>
            <a:ext uri="{FF2B5EF4-FFF2-40B4-BE49-F238E27FC236}">
              <a16:creationId xmlns:a16="http://schemas.microsoft.com/office/drawing/2014/main" id="{B38EB69B-4654-4153-A6D2-56360D2120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238125</xdr:colOff>
      <xdr:row>5</xdr:row>
      <xdr:rowOff>85725</xdr:rowOff>
    </xdr:from>
    <xdr:to>
      <xdr:col>0</xdr:col>
      <xdr:colOff>1724025</xdr:colOff>
      <xdr:row>7</xdr:row>
      <xdr:rowOff>28575</xdr:rowOff>
    </xdr:to>
    <xdr:sp macro="" textlink="">
      <xdr:nvSpPr>
        <xdr:cNvPr id="636929" name="Button 1" hidden="1">
          <a:extLst>
            <a:ext uri="{63B3BB69-23CF-44E3-9099-C40C66FF867C}">
              <a14:compatExt xmlns:a14="http://schemas.microsoft.com/office/drawing/2010/main" spid="_x0000_s636929"/>
            </a:ext>
            <a:ext uri="{FF2B5EF4-FFF2-40B4-BE49-F238E27FC236}">
              <a16:creationId xmlns:a16="http://schemas.microsoft.com/office/drawing/2014/main" id="{FF243E46-BC5D-4899-8FD7-BF8765DD15A5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 Sprint Tasks</a:t>
          </a:r>
        </a:p>
      </xdr:txBody>
    </xdr:sp>
    <xdr:clientData fPrintsWithSheet="0"/>
  </xdr:twoCellAnchor>
  <xdr:twoCellAnchor>
    <xdr:from>
      <xdr:col>0</xdr:col>
      <xdr:colOff>2000250</xdr:colOff>
      <xdr:row>5</xdr:row>
      <xdr:rowOff>85725</xdr:rowOff>
    </xdr:from>
    <xdr:to>
      <xdr:col>2</xdr:col>
      <xdr:colOff>219075</xdr:colOff>
      <xdr:row>7</xdr:row>
      <xdr:rowOff>28575</xdr:rowOff>
    </xdr:to>
    <xdr:sp macro="" textlink="">
      <xdr:nvSpPr>
        <xdr:cNvPr id="636930" name="Button 2" hidden="1">
          <a:extLst>
            <a:ext uri="{63B3BB69-23CF-44E3-9099-C40C66FF867C}">
              <a14:compatExt xmlns:a14="http://schemas.microsoft.com/office/drawing/2010/main" spid="_x0000_s636930"/>
            </a:ext>
            <a:ext uri="{FF2B5EF4-FFF2-40B4-BE49-F238E27FC236}">
              <a16:creationId xmlns:a16="http://schemas.microsoft.com/office/drawing/2014/main" id="{02081EBC-9C4C-4FDA-B284-50AD25C60A77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Update Task Slips</a:t>
          </a:r>
        </a:p>
      </xdr:txBody>
    </xdr: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485775</xdr:colOff>
      <xdr:row>0</xdr:row>
      <xdr:rowOff>38100</xdr:rowOff>
    </xdr:from>
    <xdr:to>
      <xdr:col>30</xdr:col>
      <xdr:colOff>57150</xdr:colOff>
      <xdr:row>7</xdr:row>
      <xdr:rowOff>133350</xdr:rowOff>
    </xdr:to>
    <xdr:graphicFrame macro="">
      <xdr:nvGraphicFramePr>
        <xdr:cNvPr id="17554" name="Graphique 2">
          <a:extLst>
            <a:ext uri="{FF2B5EF4-FFF2-40B4-BE49-F238E27FC236}">
              <a16:creationId xmlns:a16="http://schemas.microsoft.com/office/drawing/2014/main" id="{111AB40B-E785-4EF0-B7AD-B3515CB10B7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238125</xdr:colOff>
      <xdr:row>5</xdr:row>
      <xdr:rowOff>85725</xdr:rowOff>
    </xdr:from>
    <xdr:to>
      <xdr:col>0</xdr:col>
      <xdr:colOff>2009775</xdr:colOff>
      <xdr:row>7</xdr:row>
      <xdr:rowOff>28575</xdr:rowOff>
    </xdr:to>
    <xdr:sp macro="" textlink="">
      <xdr:nvSpPr>
        <xdr:cNvPr id="17411" name="Button 3" hidden="1">
          <a:extLst>
            <a:ext uri="{63B3BB69-23CF-44E3-9099-C40C66FF867C}">
              <a14:compatExt xmlns:a14="http://schemas.microsoft.com/office/drawing/2010/main" spid="_x0000_s17411"/>
            </a:ext>
            <a:ext uri="{FF2B5EF4-FFF2-40B4-BE49-F238E27FC236}">
              <a16:creationId xmlns:a16="http://schemas.microsoft.com/office/drawing/2014/main" id="{5A9BA5DC-375F-443A-BD4F-F737613F6ADB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 Sprint Tasks</a:t>
          </a:r>
        </a:p>
      </xdr:txBody>
    </xdr:sp>
    <xdr:clientData fPrintsWithSheet="0"/>
  </xdr:twoCellAnchor>
  <xdr:twoCellAnchor>
    <xdr:from>
      <xdr:col>0</xdr:col>
      <xdr:colOff>2257425</xdr:colOff>
      <xdr:row>5</xdr:row>
      <xdr:rowOff>85725</xdr:rowOff>
    </xdr:from>
    <xdr:to>
      <xdr:col>2</xdr:col>
      <xdr:colOff>295275</xdr:colOff>
      <xdr:row>7</xdr:row>
      <xdr:rowOff>28575</xdr:rowOff>
    </xdr:to>
    <xdr:sp macro="" textlink="">
      <xdr:nvSpPr>
        <xdr:cNvPr id="17415" name="Button 7" hidden="1">
          <a:extLst>
            <a:ext uri="{63B3BB69-23CF-44E3-9099-C40C66FF867C}">
              <a14:compatExt xmlns:a14="http://schemas.microsoft.com/office/drawing/2010/main" spid="_x0000_s17415"/>
            </a:ext>
            <a:ext uri="{FF2B5EF4-FFF2-40B4-BE49-F238E27FC236}">
              <a16:creationId xmlns:a16="http://schemas.microsoft.com/office/drawing/2014/main" id="{166980F2-1383-4385-A736-5BDEF4EB7071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Update Task Slips</a:t>
          </a:r>
        </a:p>
      </xdr:txBody>
    </xdr:sp>
    <xdr:clientData fPrintsWithSheet="0"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485775</xdr:colOff>
      <xdr:row>0</xdr:row>
      <xdr:rowOff>38100</xdr:rowOff>
    </xdr:from>
    <xdr:to>
      <xdr:col>30</xdr:col>
      <xdr:colOff>57150</xdr:colOff>
      <xdr:row>7</xdr:row>
      <xdr:rowOff>133350</xdr:rowOff>
    </xdr:to>
    <xdr:graphicFrame macro="">
      <xdr:nvGraphicFramePr>
        <xdr:cNvPr id="143462" name="Graphique 2">
          <a:extLst>
            <a:ext uri="{FF2B5EF4-FFF2-40B4-BE49-F238E27FC236}">
              <a16:creationId xmlns:a16="http://schemas.microsoft.com/office/drawing/2014/main" id="{CD72AEA0-0E0B-4B1D-A024-6CC9FF210F6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238125</xdr:colOff>
      <xdr:row>5</xdr:row>
      <xdr:rowOff>85725</xdr:rowOff>
    </xdr:from>
    <xdr:to>
      <xdr:col>0</xdr:col>
      <xdr:colOff>1724025</xdr:colOff>
      <xdr:row>7</xdr:row>
      <xdr:rowOff>28575</xdr:rowOff>
    </xdr:to>
    <xdr:sp macro="" textlink="">
      <xdr:nvSpPr>
        <xdr:cNvPr id="143361" name="Button 1" hidden="1">
          <a:extLst>
            <a:ext uri="{63B3BB69-23CF-44E3-9099-C40C66FF867C}">
              <a14:compatExt xmlns:a14="http://schemas.microsoft.com/office/drawing/2010/main" spid="_x0000_s143361"/>
            </a:ext>
            <a:ext uri="{FF2B5EF4-FFF2-40B4-BE49-F238E27FC236}">
              <a16:creationId xmlns:a16="http://schemas.microsoft.com/office/drawing/2014/main" id="{80BC74D4-389A-4D3A-8995-A01D8167C874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 Sprint Tasks</a:t>
          </a:r>
        </a:p>
      </xdr:txBody>
    </xdr:sp>
    <xdr:clientData fPrintsWithSheet="0"/>
  </xdr:twoCellAnchor>
  <xdr:twoCellAnchor>
    <xdr:from>
      <xdr:col>0</xdr:col>
      <xdr:colOff>2000250</xdr:colOff>
      <xdr:row>5</xdr:row>
      <xdr:rowOff>85725</xdr:rowOff>
    </xdr:from>
    <xdr:to>
      <xdr:col>2</xdr:col>
      <xdr:colOff>219075</xdr:colOff>
      <xdr:row>7</xdr:row>
      <xdr:rowOff>28575</xdr:rowOff>
    </xdr:to>
    <xdr:sp macro="" textlink="">
      <xdr:nvSpPr>
        <xdr:cNvPr id="143362" name="Button 2" hidden="1">
          <a:extLst>
            <a:ext uri="{63B3BB69-23CF-44E3-9099-C40C66FF867C}">
              <a14:compatExt xmlns:a14="http://schemas.microsoft.com/office/drawing/2010/main" spid="_x0000_s143362"/>
            </a:ext>
            <a:ext uri="{FF2B5EF4-FFF2-40B4-BE49-F238E27FC236}">
              <a16:creationId xmlns:a16="http://schemas.microsoft.com/office/drawing/2014/main" id="{29742914-8A44-48D8-9104-45E11C4A76AE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Update Task Slips</a:t>
          </a:r>
        </a:p>
      </xdr:txBody>
    </xdr:sp>
    <xdr:clientData fPrintsWithSheet="0"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485775</xdr:colOff>
      <xdr:row>0</xdr:row>
      <xdr:rowOff>38100</xdr:rowOff>
    </xdr:from>
    <xdr:to>
      <xdr:col>30</xdr:col>
      <xdr:colOff>57150</xdr:colOff>
      <xdr:row>7</xdr:row>
      <xdr:rowOff>133350</xdr:rowOff>
    </xdr:to>
    <xdr:graphicFrame macro="">
      <xdr:nvGraphicFramePr>
        <xdr:cNvPr id="149604" name="Graphique 2">
          <a:extLst>
            <a:ext uri="{FF2B5EF4-FFF2-40B4-BE49-F238E27FC236}">
              <a16:creationId xmlns:a16="http://schemas.microsoft.com/office/drawing/2014/main" id="{4B05B235-8A6A-4E92-8249-8DD53FAC63B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238125</xdr:colOff>
      <xdr:row>5</xdr:row>
      <xdr:rowOff>85725</xdr:rowOff>
    </xdr:from>
    <xdr:to>
      <xdr:col>0</xdr:col>
      <xdr:colOff>1724025</xdr:colOff>
      <xdr:row>7</xdr:row>
      <xdr:rowOff>28575</xdr:rowOff>
    </xdr:to>
    <xdr:sp macro="" textlink="">
      <xdr:nvSpPr>
        <xdr:cNvPr id="149505" name="Button 1" hidden="1">
          <a:extLst>
            <a:ext uri="{63B3BB69-23CF-44E3-9099-C40C66FF867C}">
              <a14:compatExt xmlns:a14="http://schemas.microsoft.com/office/drawing/2010/main" spid="_x0000_s149505"/>
            </a:ext>
            <a:ext uri="{FF2B5EF4-FFF2-40B4-BE49-F238E27FC236}">
              <a16:creationId xmlns:a16="http://schemas.microsoft.com/office/drawing/2014/main" id="{64A7707F-2F84-4A0D-A11D-225F1C965303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 Sprint Tasks</a:t>
          </a:r>
        </a:p>
      </xdr:txBody>
    </xdr:sp>
    <xdr:clientData fPrintsWithSheet="0"/>
  </xdr:twoCellAnchor>
  <xdr:twoCellAnchor>
    <xdr:from>
      <xdr:col>0</xdr:col>
      <xdr:colOff>2000250</xdr:colOff>
      <xdr:row>5</xdr:row>
      <xdr:rowOff>85725</xdr:rowOff>
    </xdr:from>
    <xdr:to>
      <xdr:col>2</xdr:col>
      <xdr:colOff>219075</xdr:colOff>
      <xdr:row>7</xdr:row>
      <xdr:rowOff>28575</xdr:rowOff>
    </xdr:to>
    <xdr:sp macro="" textlink="">
      <xdr:nvSpPr>
        <xdr:cNvPr id="149506" name="Button 2" hidden="1">
          <a:extLst>
            <a:ext uri="{63B3BB69-23CF-44E3-9099-C40C66FF867C}">
              <a14:compatExt xmlns:a14="http://schemas.microsoft.com/office/drawing/2010/main" spid="_x0000_s149506"/>
            </a:ext>
            <a:ext uri="{FF2B5EF4-FFF2-40B4-BE49-F238E27FC236}">
              <a16:creationId xmlns:a16="http://schemas.microsoft.com/office/drawing/2014/main" id="{2F4DC378-4DD9-43EF-8F39-54C1D545D47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Update Task Slips</a:t>
          </a:r>
        </a:p>
      </xdr:txBody>
    </xdr:sp>
    <xdr:clientData fPrintsWithSheet="0"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485775</xdr:colOff>
      <xdr:row>0</xdr:row>
      <xdr:rowOff>38100</xdr:rowOff>
    </xdr:from>
    <xdr:to>
      <xdr:col>30</xdr:col>
      <xdr:colOff>57150</xdr:colOff>
      <xdr:row>7</xdr:row>
      <xdr:rowOff>133350</xdr:rowOff>
    </xdr:to>
    <xdr:graphicFrame macro="">
      <xdr:nvGraphicFramePr>
        <xdr:cNvPr id="14475" name="Graphique 2">
          <a:extLst>
            <a:ext uri="{FF2B5EF4-FFF2-40B4-BE49-F238E27FC236}">
              <a16:creationId xmlns:a16="http://schemas.microsoft.com/office/drawing/2014/main" id="{B8596006-EE2F-4DC1-9EF6-6FC5F10B621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238125</xdr:colOff>
      <xdr:row>5</xdr:row>
      <xdr:rowOff>85725</xdr:rowOff>
    </xdr:from>
    <xdr:to>
      <xdr:col>0</xdr:col>
      <xdr:colOff>1724025</xdr:colOff>
      <xdr:row>7</xdr:row>
      <xdr:rowOff>28575</xdr:rowOff>
    </xdr:to>
    <xdr:sp macro="" textlink="">
      <xdr:nvSpPr>
        <xdr:cNvPr id="14349" name="Button 13" hidden="1">
          <a:extLst>
            <a:ext uri="{63B3BB69-23CF-44E3-9099-C40C66FF867C}">
              <a14:compatExt xmlns:a14="http://schemas.microsoft.com/office/drawing/2010/main" spid="_x0000_s14349"/>
            </a:ext>
            <a:ext uri="{FF2B5EF4-FFF2-40B4-BE49-F238E27FC236}">
              <a16:creationId xmlns:a16="http://schemas.microsoft.com/office/drawing/2014/main" id="{4BB9CC13-BDBB-4852-AD39-47B7A4E5A85B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 Sprint Tasks</a:t>
          </a:r>
        </a:p>
      </xdr:txBody>
    </xdr:sp>
    <xdr:clientData fPrintsWithSheet="0"/>
  </xdr:twoCellAnchor>
  <xdr:twoCellAnchor>
    <xdr:from>
      <xdr:col>0</xdr:col>
      <xdr:colOff>2000250</xdr:colOff>
      <xdr:row>5</xdr:row>
      <xdr:rowOff>85725</xdr:rowOff>
    </xdr:from>
    <xdr:to>
      <xdr:col>2</xdr:col>
      <xdr:colOff>219075</xdr:colOff>
      <xdr:row>7</xdr:row>
      <xdr:rowOff>28575</xdr:rowOff>
    </xdr:to>
    <xdr:sp macro="" textlink="">
      <xdr:nvSpPr>
        <xdr:cNvPr id="14350" name="Button 14" hidden="1">
          <a:extLst>
            <a:ext uri="{63B3BB69-23CF-44E3-9099-C40C66FF867C}">
              <a14:compatExt xmlns:a14="http://schemas.microsoft.com/office/drawing/2010/main" spid="_x0000_s14350"/>
            </a:ext>
            <a:ext uri="{FF2B5EF4-FFF2-40B4-BE49-F238E27FC236}">
              <a16:creationId xmlns:a16="http://schemas.microsoft.com/office/drawing/2014/main" id="{B446A6F1-8429-4F67-9DAD-F12C5B8841D6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Update Task Slips</a:t>
          </a:r>
        </a:p>
      </xdr:txBody>
    </xdr:sp>
    <xdr:clientData fPrintsWithSheet="0"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31"/>
  <sheetViews>
    <sheetView topLeftCell="A6" workbookViewId="0">
      <selection activeCell="H20" sqref="H20"/>
    </sheetView>
  </sheetViews>
  <sheetFormatPr baseColWidth="10" defaultColWidth="9.140625" defaultRowHeight="12.75" x14ac:dyDescent="0.2"/>
  <cols>
    <col min="1" max="1" width="7.85546875" customWidth="1"/>
    <col min="2" max="2" width="10.42578125" customWidth="1"/>
    <col min="3" max="3" width="9.5703125" customWidth="1"/>
    <col min="4" max="5" width="10.7109375" customWidth="1"/>
    <col min="6" max="6" width="9.140625" customWidth="1"/>
    <col min="7" max="7" width="13.7109375" style="2" customWidth="1"/>
    <col min="8" max="8" width="59.140625" customWidth="1"/>
    <col min="9" max="9" width="10.7109375" customWidth="1"/>
    <col min="10" max="256" width="11.42578125" customWidth="1"/>
  </cols>
  <sheetData>
    <row r="1" spans="1:10" ht="18" x14ac:dyDescent="0.25">
      <c r="A1" s="15" t="s">
        <v>0</v>
      </c>
    </row>
    <row r="3" spans="1:10" x14ac:dyDescent="0.2">
      <c r="A3" s="9" t="s">
        <v>1</v>
      </c>
      <c r="B3" s="47" t="s">
        <v>2</v>
      </c>
      <c r="C3" s="48" t="s">
        <v>3</v>
      </c>
      <c r="D3" s="48" t="s">
        <v>4</v>
      </c>
      <c r="E3" s="47" t="s">
        <v>5</v>
      </c>
      <c r="F3" s="10" t="s">
        <v>6</v>
      </c>
      <c r="G3" s="47" t="s">
        <v>7</v>
      </c>
      <c r="H3" s="11" t="s">
        <v>8</v>
      </c>
      <c r="I3" s="1"/>
      <c r="J3" s="1"/>
    </row>
    <row r="4" spans="1:10" x14ac:dyDescent="0.2">
      <c r="A4" s="12">
        <v>1</v>
      </c>
      <c r="B4" s="44" t="str">
        <f>IF(OR(B16="",A4=""),"",B16)</f>
        <v>18/09/2019</v>
      </c>
      <c r="C4" s="25">
        <v>2</v>
      </c>
      <c r="D4" s="44">
        <f>IF(OR(B4="",C4=""),"",B4+C4-1)</f>
        <v>43727</v>
      </c>
      <c r="E4" s="22">
        <f>IF(A4="","",SUMIF(I$16:I$30,'Release Plan'!A4,E$16:E$30))</f>
        <v>0</v>
      </c>
      <c r="F4" s="4"/>
      <c r="G4" s="49"/>
      <c r="H4" s="6"/>
    </row>
    <row r="5" spans="1:10" x14ac:dyDescent="0.2">
      <c r="A5" s="13">
        <v>2</v>
      </c>
      <c r="B5" s="41">
        <f>IF(A5="","",B4+C4)</f>
        <v>43728</v>
      </c>
      <c r="C5" s="22">
        <f t="shared" ref="C5:C10" si="0">IF(A5="","",SUMIF(I$16:I$30,A5,C$16:C$30))</f>
        <v>0</v>
      </c>
      <c r="D5" s="41">
        <f t="shared" ref="D5:D10" si="1">IF(OR(B5="",C5=""),"",B5+C5-1)</f>
        <v>43727</v>
      </c>
      <c r="E5" s="22">
        <f>IF(A5="","",SUMIF(I$16:I$30,'Release Plan'!A5,E$16:E$30))</f>
        <v>0</v>
      </c>
      <c r="F5" s="4"/>
      <c r="G5" s="50"/>
      <c r="H5" s="7"/>
    </row>
    <row r="6" spans="1:10" x14ac:dyDescent="0.2">
      <c r="A6" s="13"/>
      <c r="B6" s="41"/>
      <c r="C6" s="22" t="str">
        <f t="shared" si="0"/>
        <v/>
      </c>
      <c r="D6" s="41" t="str">
        <f t="shared" si="1"/>
        <v/>
      </c>
      <c r="E6" s="22" t="str">
        <f>IF(A6="","",SUMIF(I$16:I$30,'Release Plan'!A6,E$16:E$30))</f>
        <v/>
      </c>
      <c r="F6" s="4"/>
      <c r="G6" s="50"/>
      <c r="H6" s="7"/>
    </row>
    <row r="7" spans="1:10" x14ac:dyDescent="0.2">
      <c r="A7" s="13"/>
      <c r="B7" s="41"/>
      <c r="C7" s="22" t="str">
        <f t="shared" si="0"/>
        <v/>
      </c>
      <c r="D7" s="41" t="str">
        <f t="shared" si="1"/>
        <v/>
      </c>
      <c r="E7" s="22" t="str">
        <f>IF(A7="","",SUMIF(I$16:I$30,'Release Plan'!A7,E$16:E$30))</f>
        <v/>
      </c>
      <c r="F7" s="4"/>
      <c r="G7" s="50"/>
      <c r="H7" s="7"/>
    </row>
    <row r="8" spans="1:10" x14ac:dyDescent="0.2">
      <c r="A8" s="13"/>
      <c r="B8" s="41"/>
      <c r="C8" s="22" t="str">
        <f t="shared" si="0"/>
        <v/>
      </c>
      <c r="D8" s="41" t="str">
        <f t="shared" si="1"/>
        <v/>
      </c>
      <c r="E8" s="22" t="str">
        <f>IF(A8="","",SUMIF(I$16:I$30,'Release Plan'!A8,E$16:E$30))</f>
        <v/>
      </c>
      <c r="F8" s="4"/>
      <c r="G8" s="50"/>
      <c r="H8" s="7"/>
    </row>
    <row r="9" spans="1:10" x14ac:dyDescent="0.2">
      <c r="A9" s="13"/>
      <c r="B9" s="41"/>
      <c r="C9" s="22" t="str">
        <f t="shared" si="0"/>
        <v/>
      </c>
      <c r="D9" s="41" t="str">
        <f t="shared" si="1"/>
        <v/>
      </c>
      <c r="E9" s="22" t="str">
        <f>IF(A9="","",SUMIF(I$16:I$30,'Release Plan'!A9,E$16:E$30))</f>
        <v/>
      </c>
      <c r="F9" s="4"/>
      <c r="G9" s="50"/>
      <c r="H9" s="7"/>
    </row>
    <row r="10" spans="1:10" x14ac:dyDescent="0.2">
      <c r="A10" s="14"/>
      <c r="B10" s="42"/>
      <c r="C10" s="43" t="str">
        <f t="shared" si="0"/>
        <v/>
      </c>
      <c r="D10" s="42" t="str">
        <f t="shared" si="1"/>
        <v/>
      </c>
      <c r="E10" s="43" t="str">
        <f>IF(A10="","",SUMIF(I$16:I$30,'Release Plan'!A10,E$16:E$30))</f>
        <v/>
      </c>
      <c r="F10" s="5"/>
      <c r="G10" s="51"/>
      <c r="H10" s="8"/>
    </row>
    <row r="11" spans="1:10" x14ac:dyDescent="0.2">
      <c r="A11" s="38" t="s">
        <v>9</v>
      </c>
    </row>
    <row r="13" spans="1:10" ht="18" x14ac:dyDescent="0.25">
      <c r="A13" s="15" t="s">
        <v>10</v>
      </c>
    </row>
    <row r="15" spans="1:10" x14ac:dyDescent="0.2">
      <c r="A15" s="9" t="s">
        <v>11</v>
      </c>
      <c r="B15" s="47" t="s">
        <v>2</v>
      </c>
      <c r="C15" s="47" t="s">
        <v>3</v>
      </c>
      <c r="D15" s="47" t="s">
        <v>4</v>
      </c>
      <c r="E15" s="47" t="s">
        <v>5</v>
      </c>
      <c r="F15" s="10" t="s">
        <v>6</v>
      </c>
      <c r="G15" s="47" t="s">
        <v>7</v>
      </c>
      <c r="H15" s="74" t="s">
        <v>8</v>
      </c>
      <c r="I15" s="53" t="s">
        <v>12</v>
      </c>
      <c r="J15" s="1"/>
    </row>
    <row r="16" spans="1:10" x14ac:dyDescent="0.2">
      <c r="A16" s="22">
        <v>0</v>
      </c>
      <c r="B16" s="78" t="s">
        <v>13</v>
      </c>
      <c r="C16" s="27">
        <v>2</v>
      </c>
      <c r="D16" s="26"/>
      <c r="E16" s="22"/>
      <c r="F16" s="4"/>
      <c r="G16" s="27" t="s">
        <v>14</v>
      </c>
      <c r="H16" s="28"/>
      <c r="I16" s="73"/>
    </row>
    <row r="17" spans="1:9" x14ac:dyDescent="0.2">
      <c r="A17" s="22">
        <v>1</v>
      </c>
      <c r="B17" s="26"/>
      <c r="C17" s="27"/>
      <c r="D17" s="26"/>
      <c r="E17" s="22"/>
      <c r="F17" s="4"/>
      <c r="G17" s="27"/>
      <c r="H17" s="29"/>
      <c r="I17" s="39"/>
    </row>
    <row r="18" spans="1:9" x14ac:dyDescent="0.2">
      <c r="A18" s="22">
        <v>2</v>
      </c>
      <c r="B18" s="26"/>
      <c r="C18" s="27"/>
      <c r="D18" s="26"/>
      <c r="E18" s="22"/>
      <c r="F18" s="4"/>
      <c r="G18" s="27"/>
      <c r="H18" s="29"/>
      <c r="I18" s="39"/>
    </row>
    <row r="19" spans="1:9" x14ac:dyDescent="0.2">
      <c r="A19" s="22">
        <v>3</v>
      </c>
      <c r="B19" s="26"/>
      <c r="C19" s="27"/>
      <c r="D19" s="26"/>
      <c r="E19" s="22"/>
      <c r="F19" s="4"/>
      <c r="G19" s="27"/>
      <c r="H19" s="29"/>
      <c r="I19" s="39"/>
    </row>
    <row r="20" spans="1:9" x14ac:dyDescent="0.2">
      <c r="A20" s="22"/>
      <c r="B20" s="26"/>
      <c r="C20" s="27"/>
      <c r="D20" s="26"/>
      <c r="E20" s="22"/>
      <c r="F20" s="4"/>
      <c r="G20" s="27"/>
      <c r="H20" s="29"/>
      <c r="I20" s="39"/>
    </row>
    <row r="21" spans="1:9" x14ac:dyDescent="0.2">
      <c r="A21" s="22"/>
      <c r="B21" s="26"/>
      <c r="C21" s="27"/>
      <c r="D21" s="26"/>
      <c r="E21" s="22"/>
      <c r="F21" s="4"/>
      <c r="G21" s="27"/>
      <c r="H21" s="29"/>
      <c r="I21" s="39"/>
    </row>
    <row r="22" spans="1:9" x14ac:dyDescent="0.2">
      <c r="A22" s="22" t="str">
        <f t="shared" ref="A22:A30" si="2">IF(AND(B22&lt;&gt;"",C22&lt;&gt;""),A21+1,"")</f>
        <v/>
      </c>
      <c r="B22" s="26" t="str">
        <f t="shared" ref="B22:B30" si="3">IF(AND(B21&lt;&gt;"",C21&lt;&gt;"",C22&lt;&gt;""),B21+C21,"")</f>
        <v/>
      </c>
      <c r="C22" s="27"/>
      <c r="D22" s="26" t="str">
        <f t="shared" ref="D22:D30" si="4">IF(AND(B22&lt;&gt;"",C22&lt;&gt;""),B22+C22-1,"")</f>
        <v/>
      </c>
      <c r="E22" s="22" t="str">
        <f>IF(A22="","",SUMIF('Product Backlog'!E$6:E$104,'Release Plan'!A22,'Product Backlog'!D$6:D$104))</f>
        <v/>
      </c>
      <c r="F22" s="4" t="str">
        <f t="shared" ref="F22:F30" si="5">IF(AND(OR(F21="Planned",F21="Ongoing"),C22&lt;&gt;""),"Planned","Unplanned")</f>
        <v>Unplanned</v>
      </c>
      <c r="G22" s="27"/>
      <c r="H22" s="29"/>
      <c r="I22" s="39"/>
    </row>
    <row r="23" spans="1:9" x14ac:dyDescent="0.2">
      <c r="A23" s="22" t="str">
        <f t="shared" si="2"/>
        <v/>
      </c>
      <c r="B23" s="26" t="str">
        <f t="shared" si="3"/>
        <v/>
      </c>
      <c r="C23" s="27"/>
      <c r="D23" s="26" t="str">
        <f t="shared" si="4"/>
        <v/>
      </c>
      <c r="E23" s="22" t="str">
        <f>IF(A23="","",SUMIF('Product Backlog'!E$6:E$104,'Release Plan'!A23,'Product Backlog'!D$6:D$104))</f>
        <v/>
      </c>
      <c r="F23" s="4" t="str">
        <f t="shared" si="5"/>
        <v>Unplanned</v>
      </c>
      <c r="G23" s="27"/>
      <c r="H23" s="29"/>
      <c r="I23" s="39"/>
    </row>
    <row r="24" spans="1:9" x14ac:dyDescent="0.2">
      <c r="A24" s="22" t="str">
        <f t="shared" si="2"/>
        <v/>
      </c>
      <c r="B24" s="26" t="str">
        <f t="shared" si="3"/>
        <v/>
      </c>
      <c r="C24" s="27"/>
      <c r="D24" s="26" t="str">
        <f t="shared" si="4"/>
        <v/>
      </c>
      <c r="E24" s="22" t="str">
        <f>IF(A24="","",SUMIF('Product Backlog'!E$6:E$104,'Release Plan'!A24,'Product Backlog'!D$6:D$104))</f>
        <v/>
      </c>
      <c r="F24" s="4" t="str">
        <f t="shared" si="5"/>
        <v>Unplanned</v>
      </c>
      <c r="G24" s="27"/>
      <c r="H24" s="29"/>
      <c r="I24" s="39"/>
    </row>
    <row r="25" spans="1:9" x14ac:dyDescent="0.2">
      <c r="A25" s="22" t="str">
        <f t="shared" si="2"/>
        <v/>
      </c>
      <c r="B25" s="26" t="str">
        <f t="shared" si="3"/>
        <v/>
      </c>
      <c r="C25" s="27"/>
      <c r="D25" s="26" t="str">
        <f t="shared" si="4"/>
        <v/>
      </c>
      <c r="E25" s="22" t="str">
        <f>IF(A25="","",SUMIF('Product Backlog'!E$6:E$104,'Release Plan'!A25,'Product Backlog'!D$6:D$104))</f>
        <v/>
      </c>
      <c r="F25" s="4" t="str">
        <f t="shared" si="5"/>
        <v>Unplanned</v>
      </c>
      <c r="G25" s="27"/>
      <c r="H25" s="29"/>
      <c r="I25" s="39"/>
    </row>
    <row r="26" spans="1:9" x14ac:dyDescent="0.2">
      <c r="A26" s="22" t="str">
        <f t="shared" si="2"/>
        <v/>
      </c>
      <c r="B26" s="26" t="str">
        <f t="shared" si="3"/>
        <v/>
      </c>
      <c r="C26" s="27"/>
      <c r="D26" s="26" t="str">
        <f t="shared" si="4"/>
        <v/>
      </c>
      <c r="E26" s="22" t="str">
        <f>IF(A26="","",SUMIF('Product Backlog'!E$6:E$104,'Release Plan'!A26,'Product Backlog'!D$6:D$104))</f>
        <v/>
      </c>
      <c r="F26" s="4" t="str">
        <f t="shared" si="5"/>
        <v>Unplanned</v>
      </c>
      <c r="G26" s="27"/>
      <c r="H26" s="29"/>
      <c r="I26" s="39"/>
    </row>
    <row r="27" spans="1:9" x14ac:dyDescent="0.2">
      <c r="A27" s="22" t="str">
        <f t="shared" si="2"/>
        <v/>
      </c>
      <c r="B27" s="26" t="str">
        <f t="shared" si="3"/>
        <v/>
      </c>
      <c r="C27" s="27"/>
      <c r="D27" s="26" t="str">
        <f t="shared" si="4"/>
        <v/>
      </c>
      <c r="E27" s="22" t="str">
        <f>IF(A27="","",SUMIF('Product Backlog'!E$6:E$104,'Release Plan'!A27,'Product Backlog'!D$6:D$104))</f>
        <v/>
      </c>
      <c r="F27" s="4" t="str">
        <f t="shared" si="5"/>
        <v>Unplanned</v>
      </c>
      <c r="G27" s="27"/>
      <c r="H27" s="29"/>
      <c r="I27" s="39"/>
    </row>
    <row r="28" spans="1:9" x14ac:dyDescent="0.2">
      <c r="A28" s="22" t="str">
        <f t="shared" si="2"/>
        <v/>
      </c>
      <c r="B28" s="26" t="str">
        <f t="shared" si="3"/>
        <v/>
      </c>
      <c r="C28" s="27"/>
      <c r="D28" s="26" t="str">
        <f t="shared" si="4"/>
        <v/>
      </c>
      <c r="E28" s="22" t="str">
        <f>IF(A28="","",SUMIF('Product Backlog'!E$6:E$104,'Release Plan'!A28,'Product Backlog'!D$6:D$104))</f>
        <v/>
      </c>
      <c r="F28" s="4" t="str">
        <f t="shared" si="5"/>
        <v>Unplanned</v>
      </c>
      <c r="G28" s="27"/>
      <c r="H28" s="29"/>
      <c r="I28" s="39"/>
    </row>
    <row r="29" spans="1:9" x14ac:dyDescent="0.2">
      <c r="A29" s="22" t="str">
        <f t="shared" si="2"/>
        <v/>
      </c>
      <c r="B29" s="26" t="str">
        <f t="shared" si="3"/>
        <v/>
      </c>
      <c r="C29" s="27"/>
      <c r="D29" s="26" t="str">
        <f t="shared" si="4"/>
        <v/>
      </c>
      <c r="E29" s="22" t="str">
        <f>IF(A29="","",SUMIF('Product Backlog'!E$6:E$104,'Release Plan'!A29,'Product Backlog'!D$6:D$104))</f>
        <v/>
      </c>
      <c r="F29" s="4" t="str">
        <f t="shared" si="5"/>
        <v>Unplanned</v>
      </c>
      <c r="G29" s="27"/>
      <c r="H29" s="29"/>
      <c r="I29" s="39"/>
    </row>
    <row r="30" spans="1:9" x14ac:dyDescent="0.2">
      <c r="A30" s="22" t="str">
        <f t="shared" si="2"/>
        <v/>
      </c>
      <c r="B30" s="26" t="str">
        <f t="shared" si="3"/>
        <v/>
      </c>
      <c r="C30" s="27"/>
      <c r="D30" s="26" t="str">
        <f t="shared" si="4"/>
        <v/>
      </c>
      <c r="E30" s="22" t="str">
        <f>IF(A30="","",SUMIF('Product Backlog'!E$6:E$104,'Release Plan'!A30,'Product Backlog'!D$6:D$104))</f>
        <v/>
      </c>
      <c r="F30" s="4" t="str">
        <f t="shared" si="5"/>
        <v>Unplanned</v>
      </c>
      <c r="G30" s="27"/>
      <c r="H30" s="30"/>
      <c r="I30" s="40"/>
    </row>
    <row r="31" spans="1:9" x14ac:dyDescent="0.2">
      <c r="A31" s="23"/>
      <c r="B31" s="23"/>
      <c r="C31" s="23"/>
      <c r="D31" s="24" t="s">
        <v>15</v>
      </c>
      <c r="E31" s="25">
        <f>SUMIF('Product Backlog'!E$6:E$104,"",'Product Backlog'!D$6:D$104)-SUMIF('Product Backlog'!C$6:C$104,"Removed",'Product Backlog'!D$6:D$104)</f>
        <v>0</v>
      </c>
      <c r="F31" s="23"/>
      <c r="G31" s="52"/>
      <c r="H31" s="23"/>
    </row>
  </sheetData>
  <phoneticPr fontId="2" type="noConversion"/>
  <conditionalFormatting sqref="G4:H10 E31 E5:E10 A4:D10">
    <cfRule type="expression" dxfId="60" priority="1" stopIfTrue="1">
      <formula>$F4="Planned"</formula>
    </cfRule>
    <cfRule type="expression" dxfId="59" priority="2" stopIfTrue="1">
      <formula>$F4="Ongoing"</formula>
    </cfRule>
  </conditionalFormatting>
  <conditionalFormatting sqref="F4:F10 F16:F30">
    <cfRule type="expression" dxfId="58" priority="3" stopIfTrue="1">
      <formula>$F4="Planned"</formula>
    </cfRule>
    <cfRule type="expression" dxfId="57" priority="4" stopIfTrue="1">
      <formula>$F4="Ongoing"</formula>
    </cfRule>
    <cfRule type="cellIs" dxfId="56" priority="5" stopIfTrue="1" operator="equal">
      <formula>"Unplanned"</formula>
    </cfRule>
  </conditionalFormatting>
  <conditionalFormatting sqref="E4 G16:H30 A16:E30">
    <cfRule type="expression" dxfId="55" priority="6" stopIfTrue="1">
      <formula>OR($F4="Planned",$F4="Unplanned")</formula>
    </cfRule>
    <cfRule type="expression" dxfId="54" priority="7" stopIfTrue="1">
      <formula>$F4="Ongoing"</formula>
    </cfRule>
  </conditionalFormatting>
  <dataValidations count="1">
    <dataValidation type="list" allowBlank="1" showInputMessage="1" showErrorMessage="1" sqref="F4:F10 F16:F30">
      <formula1>"Planned,Ongoing,Released,Unplanned"</formula1>
    </dataValidation>
  </dataValidations>
  <pageMargins left="0.78740157499999996" right="0.78740157499999996" top="0.984251969" bottom="0.984251969" header="0.5" footer="0.5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J54"/>
  <sheetViews>
    <sheetView zoomScale="160" zoomScaleNormal="160" workbookViewId="0">
      <pane ySplit="4" topLeftCell="A8" activePane="bottomLeft" state="frozen"/>
      <selection pane="bottomLeft" activeCell="G8" sqref="G8"/>
    </sheetView>
  </sheetViews>
  <sheetFormatPr baseColWidth="10" defaultColWidth="9.140625" defaultRowHeight="12.75" x14ac:dyDescent="0.2"/>
  <cols>
    <col min="1" max="1" width="11.42578125" style="34" customWidth="1"/>
    <col min="2" max="2" width="39.28515625" style="32" customWidth="1"/>
    <col min="3" max="3" width="10.85546875" style="34" customWidth="1"/>
    <col min="4" max="6" width="11.42578125" style="34" customWidth="1"/>
    <col min="7" max="7" width="39.5703125" style="32" customWidth="1"/>
    <col min="8" max="8" width="27.28515625" style="35" customWidth="1"/>
    <col min="9" max="256" width="11.42578125" style="35" customWidth="1"/>
    <col min="257" max="16384" width="9.140625" style="35"/>
  </cols>
  <sheetData>
    <row r="1" spans="1:8" ht="18" x14ac:dyDescent="0.2">
      <c r="A1" s="54" t="s">
        <v>16</v>
      </c>
      <c r="C1" s="33" t="s">
        <v>17</v>
      </c>
    </row>
    <row r="2" spans="1:8" x14ac:dyDescent="0.2">
      <c r="D2" s="77"/>
    </row>
    <row r="4" spans="1:8" ht="13.5" thickBot="1" x14ac:dyDescent="0.25">
      <c r="A4" s="45" t="s">
        <v>18</v>
      </c>
      <c r="B4" s="46" t="s">
        <v>19</v>
      </c>
      <c r="C4" s="45" t="s">
        <v>6</v>
      </c>
      <c r="D4" s="45" t="s">
        <v>5</v>
      </c>
      <c r="E4" s="45" t="s">
        <v>11</v>
      </c>
      <c r="F4" s="45" t="s">
        <v>20</v>
      </c>
      <c r="G4" s="46" t="s">
        <v>21</v>
      </c>
      <c r="H4" s="46" t="s">
        <v>22</v>
      </c>
    </row>
    <row r="5" spans="1:8" ht="38.25" x14ac:dyDescent="0.2">
      <c r="A5">
        <v>1</v>
      </c>
      <c r="B5" s="32" t="s">
        <v>23</v>
      </c>
      <c r="C5" s="34" t="s">
        <v>24</v>
      </c>
      <c r="E5" s="34">
        <v>0</v>
      </c>
      <c r="F5" s="34">
        <v>1</v>
      </c>
      <c r="G5" s="32" t="s">
        <v>25</v>
      </c>
      <c r="H5" s="34" t="s">
        <v>26</v>
      </c>
    </row>
    <row r="6" spans="1:8" ht="25.5" x14ac:dyDescent="0.2">
      <c r="A6">
        <v>3</v>
      </c>
      <c r="B6" s="32" t="s">
        <v>27</v>
      </c>
      <c r="C6" s="34" t="s">
        <v>24</v>
      </c>
      <c r="E6" s="34">
        <v>1</v>
      </c>
      <c r="F6" s="34">
        <v>2</v>
      </c>
      <c r="G6" s="32" t="s">
        <v>28</v>
      </c>
      <c r="H6" s="79" t="s">
        <v>29</v>
      </c>
    </row>
    <row r="7" spans="1:8" ht="25.5" x14ac:dyDescent="0.2">
      <c r="A7">
        <v>5</v>
      </c>
      <c r="B7" s="32" t="s">
        <v>30</v>
      </c>
      <c r="C7" s="34" t="s">
        <v>31</v>
      </c>
      <c r="E7" s="34">
        <v>2</v>
      </c>
      <c r="F7" s="34">
        <v>2</v>
      </c>
      <c r="G7" s="79" t="s">
        <v>32</v>
      </c>
      <c r="H7" s="79" t="s">
        <v>26</v>
      </c>
    </row>
    <row r="8" spans="1:8" ht="25.5" x14ac:dyDescent="0.2">
      <c r="A8">
        <v>6</v>
      </c>
      <c r="B8" s="32" t="s">
        <v>33</v>
      </c>
      <c r="C8" s="34" t="s">
        <v>31</v>
      </c>
      <c r="E8" s="34">
        <v>2</v>
      </c>
      <c r="F8" s="34">
        <v>3</v>
      </c>
      <c r="G8" s="79" t="s">
        <v>34</v>
      </c>
      <c r="H8" s="79" t="s">
        <v>26</v>
      </c>
    </row>
    <row r="9" spans="1:8" ht="42.75" customHeight="1" x14ac:dyDescent="0.2">
      <c r="A9">
        <v>7</v>
      </c>
      <c r="B9" s="32" t="s">
        <v>35</v>
      </c>
      <c r="C9" s="34" t="s">
        <v>31</v>
      </c>
      <c r="E9" s="34">
        <v>2</v>
      </c>
      <c r="F9" s="34">
        <v>2</v>
      </c>
      <c r="G9" s="79" t="s">
        <v>36</v>
      </c>
      <c r="H9" s="32" t="s">
        <v>37</v>
      </c>
    </row>
    <row r="10" spans="1:8" ht="30.75" customHeight="1" x14ac:dyDescent="0.2">
      <c r="A10">
        <v>8</v>
      </c>
      <c r="B10" s="82" t="s">
        <v>38</v>
      </c>
      <c r="C10" s="83" t="s">
        <v>147</v>
      </c>
      <c r="D10" s="83"/>
      <c r="E10" s="83"/>
      <c r="F10" s="83">
        <v>3</v>
      </c>
      <c r="G10" s="82" t="s">
        <v>40</v>
      </c>
      <c r="H10" s="84" t="s">
        <v>37</v>
      </c>
    </row>
    <row r="11" spans="1:8" ht="38.25" x14ac:dyDescent="0.2">
      <c r="A11">
        <v>9</v>
      </c>
      <c r="B11" s="32" t="s">
        <v>41</v>
      </c>
      <c r="C11" s="34" t="s">
        <v>39</v>
      </c>
      <c r="F11" s="34">
        <v>3</v>
      </c>
      <c r="G11" s="79" t="s">
        <v>42</v>
      </c>
      <c r="H11" s="79" t="s">
        <v>29</v>
      </c>
    </row>
    <row r="12" spans="1:8" ht="26.25" customHeight="1" x14ac:dyDescent="0.2">
      <c r="A12">
        <v>10</v>
      </c>
      <c r="B12" s="32" t="s">
        <v>43</v>
      </c>
      <c r="C12" s="34" t="s">
        <v>39</v>
      </c>
      <c r="F12" s="34">
        <v>3</v>
      </c>
      <c r="G12" s="32" t="s">
        <v>44</v>
      </c>
      <c r="H12" s="35" t="s">
        <v>37</v>
      </c>
    </row>
    <row r="13" spans="1:8" x14ac:dyDescent="0.2">
      <c r="A13" s="34">
        <v>11</v>
      </c>
      <c r="B13" s="32" t="s">
        <v>45</v>
      </c>
      <c r="C13" s="34" t="s">
        <v>24</v>
      </c>
      <c r="F13" s="34">
        <v>1</v>
      </c>
    </row>
    <row r="14" spans="1:8" x14ac:dyDescent="0.2">
      <c r="A14" s="34">
        <v>12</v>
      </c>
      <c r="B14" s="32" t="s">
        <v>46</v>
      </c>
      <c r="C14" s="34" t="s">
        <v>31</v>
      </c>
      <c r="E14" s="34">
        <v>1</v>
      </c>
      <c r="F14" s="34">
        <v>1</v>
      </c>
    </row>
    <row r="30" spans="2:2" x14ac:dyDescent="0.2">
      <c r="B30" s="35"/>
    </row>
    <row r="38" spans="7:10" x14ac:dyDescent="0.2">
      <c r="J38" s="75"/>
    </row>
    <row r="43" spans="7:10" x14ac:dyDescent="0.2">
      <c r="G43" s="76"/>
    </row>
    <row r="54" spans="1:6" x14ac:dyDescent="0.2">
      <c r="A54" s="35"/>
      <c r="B54" s="35"/>
      <c r="C54" s="35"/>
      <c r="D54" s="35"/>
      <c r="E54" s="35"/>
      <c r="F54" s="35"/>
    </row>
  </sheetData>
  <phoneticPr fontId="2" type="noConversion"/>
  <conditionalFormatting sqref="G45:G53 C46:C47 G24:G42 A55:G164 B48:F53 G13:G22 A4:G4 C12 B11:H11 A13:A53 B13:F45 C5 B6:H9">
    <cfRule type="expression" dxfId="53" priority="117" stopIfTrue="1">
      <formula>$C4="Done"</formula>
    </cfRule>
    <cfRule type="expression" dxfId="52" priority="118" stopIfTrue="1">
      <formula>$C4="Ongoing"</formula>
    </cfRule>
    <cfRule type="expression" dxfId="51" priority="119" stopIfTrue="1">
      <formula>$C4="Removed"</formula>
    </cfRule>
  </conditionalFormatting>
  <conditionalFormatting sqref="G54">
    <cfRule type="expression" dxfId="50" priority="120" stopIfTrue="1">
      <formula>$C44="Done"</formula>
    </cfRule>
    <cfRule type="expression" dxfId="49" priority="121" stopIfTrue="1">
      <formula>$C44="Ongoing"</formula>
    </cfRule>
    <cfRule type="expression" dxfId="48" priority="122" stopIfTrue="1">
      <formula>$C44="Removed"</formula>
    </cfRule>
  </conditionalFormatting>
  <conditionalFormatting sqref="G43:G44">
    <cfRule type="expression" dxfId="47" priority="123" stopIfTrue="1">
      <formula>#REF!="Done"</formula>
    </cfRule>
    <cfRule type="expression" dxfId="46" priority="124" stopIfTrue="1">
      <formula>#REF!="Ongoing"</formula>
    </cfRule>
    <cfRule type="expression" dxfId="45" priority="125" stopIfTrue="1">
      <formula>#REF!="Removed"</formula>
    </cfRule>
  </conditionalFormatting>
  <conditionalFormatting sqref="G23">
    <cfRule type="expression" dxfId="44" priority="126" stopIfTrue="1">
      <formula>#REF!="Done"</formula>
    </cfRule>
    <cfRule type="expression" dxfId="43" priority="127" stopIfTrue="1">
      <formula>#REF!="Ongoing"</formula>
    </cfRule>
    <cfRule type="expression" dxfId="42" priority="128" stopIfTrue="1">
      <formula>#REF!="Removed"</formula>
    </cfRule>
  </conditionalFormatting>
  <conditionalFormatting sqref="H4">
    <cfRule type="expression" dxfId="41" priority="114" stopIfTrue="1">
      <formula>$C4="Done"</formula>
    </cfRule>
    <cfRule type="expression" dxfId="40" priority="115" stopIfTrue="1">
      <formula>$C4="Ongoing"</formula>
    </cfRule>
    <cfRule type="expression" dxfId="39" priority="116" stopIfTrue="1">
      <formula>$C4="Removed"</formula>
    </cfRule>
  </conditionalFormatting>
  <conditionalFormatting sqref="A5:A12">
    <cfRule type="expression" dxfId="38" priority="16" stopIfTrue="1">
      <formula>$D5="Done"</formula>
    </cfRule>
    <cfRule type="expression" dxfId="37" priority="17" stopIfTrue="1">
      <formula>$D5="Ongoing"</formula>
    </cfRule>
  </conditionalFormatting>
  <conditionalFormatting sqref="G5">
    <cfRule type="expression" dxfId="36" priority="13" stopIfTrue="1">
      <formula>$C5="Done"</formula>
    </cfRule>
    <cfRule type="expression" dxfId="35" priority="14" stopIfTrue="1">
      <formula>$C5="Ongoing"</formula>
    </cfRule>
    <cfRule type="expression" dxfId="34" priority="15" stopIfTrue="1">
      <formula>$C5="Removed"</formula>
    </cfRule>
  </conditionalFormatting>
  <conditionalFormatting sqref="B5">
    <cfRule type="expression" dxfId="33" priority="7" stopIfTrue="1">
      <formula>$C5="Done"</formula>
    </cfRule>
    <cfRule type="expression" dxfId="32" priority="8" stopIfTrue="1">
      <formula>$C5="Ongoing"</formula>
    </cfRule>
    <cfRule type="expression" dxfId="31" priority="9" stopIfTrue="1">
      <formula>$C5="Removed"</formula>
    </cfRule>
  </conditionalFormatting>
  <conditionalFormatting sqref="D5:F5">
    <cfRule type="expression" dxfId="30" priority="4" stopIfTrue="1">
      <formula>$C5="Done"</formula>
    </cfRule>
    <cfRule type="expression" dxfId="29" priority="5" stopIfTrue="1">
      <formula>$C5="Ongoing"</formula>
    </cfRule>
    <cfRule type="expression" dxfId="28" priority="6" stopIfTrue="1">
      <formula>$C5="Removed"</formula>
    </cfRule>
  </conditionalFormatting>
  <conditionalFormatting sqref="H5">
    <cfRule type="expression" dxfId="27" priority="1" stopIfTrue="1">
      <formula>$C5="Done"</formula>
    </cfRule>
    <cfRule type="expression" dxfId="26" priority="2" stopIfTrue="1">
      <formula>$C5="Ongoing"</formula>
    </cfRule>
    <cfRule type="expression" dxfId="25" priority="3" stopIfTrue="1">
      <formula>$C5="Removed"</formula>
    </cfRule>
  </conditionalFormatting>
  <dataValidations count="1">
    <dataValidation type="list" allowBlank="1" showInputMessage="1" sqref="C55:C164 C11:C53 C4:C7">
      <formula1>"Planned,Ongoing,Done,Removed"</formula1>
    </dataValidation>
  </dataValidations>
  <pageMargins left="0.78740157499999996" right="0.78740157499999996" top="0.984251969" bottom="0.984251969" header="0.5" footer="0.5"/>
  <pageSetup paperSize="9" scale="67" orientation="portrait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Z51"/>
  <sheetViews>
    <sheetView topLeftCell="A13" workbookViewId="0">
      <selection activeCell="A57" sqref="A57"/>
    </sheetView>
  </sheetViews>
  <sheetFormatPr baseColWidth="10" defaultColWidth="9.140625" defaultRowHeight="12.75" x14ac:dyDescent="0.2"/>
  <cols>
    <col min="1" max="1" width="43.5703125" bestFit="1" customWidth="1"/>
    <col min="2" max="4" width="9.140625" customWidth="1"/>
    <col min="5" max="5" width="14.42578125" customWidth="1"/>
    <col min="6" max="6" width="15.7109375" hidden="1" customWidth="1"/>
    <col min="7" max="8" width="5.5703125" hidden="1" customWidth="1"/>
    <col min="9" max="9" width="7.28515625" hidden="1" customWidth="1"/>
    <col min="10" max="10" width="4.28515625" hidden="1" customWidth="1"/>
    <col min="11" max="13" width="6.85546875" hidden="1" customWidth="1"/>
    <col min="14" max="16" width="9.140625" hidden="1" customWidth="1"/>
    <col min="17" max="17" width="10.5703125" hidden="1" customWidth="1"/>
    <col min="18" max="256" width="11.42578125" customWidth="1"/>
  </cols>
  <sheetData>
    <row r="1" spans="1:26" ht="18" x14ac:dyDescent="0.2">
      <c r="A1" s="54" t="s">
        <v>47</v>
      </c>
    </row>
    <row r="3" spans="1:26" x14ac:dyDescent="0.2">
      <c r="A3" t="s">
        <v>48</v>
      </c>
      <c r="D3">
        <f>35*3</f>
        <v>105</v>
      </c>
      <c r="F3" t="s">
        <v>49</v>
      </c>
      <c r="G3" s="55">
        <f>IF(COUNT(B28:B39)=0,1,COUNT(B28:B39))</f>
        <v>1</v>
      </c>
    </row>
    <row r="4" spans="1:26" x14ac:dyDescent="0.2">
      <c r="A4" t="s">
        <v>50</v>
      </c>
      <c r="D4">
        <v>3</v>
      </c>
      <c r="E4" t="s">
        <v>51</v>
      </c>
      <c r="F4" t="s">
        <v>52</v>
      </c>
      <c r="G4" s="55">
        <f>IF(COUNT(D28:D51)=0,1,COUNT(D28:D51)+1)</f>
        <v>1</v>
      </c>
    </row>
    <row r="5" spans="1:26" x14ac:dyDescent="0.2">
      <c r="F5" t="s">
        <v>53</v>
      </c>
      <c r="G5" s="55">
        <f>IF(G4&gt;D4,G4-D4,0)</f>
        <v>0</v>
      </c>
      <c r="Z5" s="38" t="s">
        <v>54</v>
      </c>
    </row>
    <row r="6" spans="1:26" x14ac:dyDescent="0.2">
      <c r="A6" s="1" t="s">
        <v>55</v>
      </c>
      <c r="F6" t="s">
        <v>56</v>
      </c>
      <c r="G6" s="55">
        <f>TrendSprintCount-TrendOffset</f>
        <v>1</v>
      </c>
      <c r="Z6" s="38" t="s">
        <v>57</v>
      </c>
    </row>
    <row r="7" spans="1:26" x14ac:dyDescent="0.2">
      <c r="A7" t="s">
        <v>58</v>
      </c>
      <c r="D7">
        <v>35</v>
      </c>
      <c r="Z7" s="38" t="s">
        <v>59</v>
      </c>
    </row>
    <row r="8" spans="1:26" x14ac:dyDescent="0.2">
      <c r="A8" s="86">
        <f>D$4</f>
        <v>3</v>
      </c>
      <c r="B8" s="86"/>
      <c r="D8" s="58" t="str">
        <f ca="1">IF(D28="","",AVERAGE(OFFSET(D27,TrendOffset,0,SprintsInTrend,1)))</f>
        <v/>
      </c>
      <c r="Z8" s="38" t="s">
        <v>60</v>
      </c>
    </row>
    <row r="9" spans="1:26" x14ac:dyDescent="0.2">
      <c r="A9" t="s">
        <v>61</v>
      </c>
      <c r="D9" s="58" t="str">
        <f ca="1">IF(D28="","",AVERAGE(OFFSET(D27,1,0,SprintCount,1)))</f>
        <v/>
      </c>
      <c r="F9" t="s">
        <v>62</v>
      </c>
      <c r="G9" s="55">
        <f ca="1">IF(M28="",1,COUNT(M28:M110))</f>
        <v>1</v>
      </c>
      <c r="Z9" s="38" t="s">
        <v>63</v>
      </c>
    </row>
    <row r="10" spans="1:26" x14ac:dyDescent="0.2">
      <c r="A10" t="s">
        <v>64</v>
      </c>
      <c r="D10" s="58" t="str">
        <f>IF(D28="","",AVERAGE(LastEight))</f>
        <v/>
      </c>
      <c r="Z10" s="38" t="s">
        <v>65</v>
      </c>
    </row>
    <row r="11" spans="1:26" x14ac:dyDescent="0.2">
      <c r="A11" t="s">
        <v>66</v>
      </c>
      <c r="D11" s="58" t="str">
        <f>IF(D28="","",IF(TrendSprintCount&lt;4,D10,AVERAGE(SMALL(LastEight,1),SMALL(LastEight,2),SMALL(LastEight,3))))</f>
        <v/>
      </c>
      <c r="Z11" s="38" t="s">
        <v>67</v>
      </c>
    </row>
    <row r="12" spans="1:26" x14ac:dyDescent="0.2">
      <c r="A12" t="s">
        <v>68</v>
      </c>
      <c r="D12" s="58" t="str">
        <f ca="1">IF(M29="","",M28-M29)</f>
        <v/>
      </c>
      <c r="Z12" s="38" t="s">
        <v>69</v>
      </c>
    </row>
    <row r="13" spans="1:26" x14ac:dyDescent="0.2">
      <c r="F13" s="56" t="s">
        <v>70</v>
      </c>
      <c r="Z13" s="38" t="s">
        <v>71</v>
      </c>
    </row>
    <row r="14" spans="1:26" x14ac:dyDescent="0.2">
      <c r="A14" s="1" t="s">
        <v>72</v>
      </c>
    </row>
    <row r="15" spans="1:26" x14ac:dyDescent="0.2">
      <c r="A15" t="s">
        <v>73</v>
      </c>
      <c r="D15" s="59">
        <f>IF(D7="",0,ROUNDUP(D3/D7*0.6,0))</f>
        <v>2</v>
      </c>
    </row>
    <row r="16" spans="1:26" x14ac:dyDescent="0.2">
      <c r="A16" t="s">
        <v>74</v>
      </c>
      <c r="D16" s="59">
        <f>IF(D7="",0,ROUNDUP(D3/D7,0))</f>
        <v>3</v>
      </c>
    </row>
    <row r="17" spans="1:17" x14ac:dyDescent="0.2">
      <c r="A17" t="s">
        <v>75</v>
      </c>
      <c r="D17" s="59">
        <f>IF(D7="",0,ROUNDUP(D3/D7*1.6,0))</f>
        <v>5</v>
      </c>
      <c r="F17" t="s">
        <v>76</v>
      </c>
      <c r="G17">
        <f>IF(OR(D28="",D29=""),1,STDEV(D28:D51))</f>
        <v>1</v>
      </c>
    </row>
    <row r="18" spans="1:17" x14ac:dyDescent="0.2">
      <c r="A18" s="86">
        <f>D$4</f>
        <v>3</v>
      </c>
      <c r="B18" s="86"/>
      <c r="D18" s="59" t="str">
        <f ca="1">IF(D8="","",IF(LastRealized="",ROUNDUP(LastPlanned/D8,0)+SprintCount-1,ROUNDUP((LastPlanned-LastRealized)/D8+SprintCount,0)))</f>
        <v/>
      </c>
    </row>
    <row r="19" spans="1:17" x14ac:dyDescent="0.2">
      <c r="A19" t="s">
        <v>77</v>
      </c>
      <c r="D19" s="59" t="str">
        <f ca="1">IF(D9="","",IF(LastRealized="",ROUNDUP(LastPlanned/D9+SprintCount-1,0),ROUNDUP((LastPlanned-LastRealized)/D9,0)+SprintCount))</f>
        <v/>
      </c>
      <c r="F19" t="s">
        <v>78</v>
      </c>
      <c r="G19">
        <f ca="1">LastPlanned</f>
        <v>105</v>
      </c>
    </row>
    <row r="20" spans="1:17" x14ac:dyDescent="0.2">
      <c r="A20" t="s">
        <v>64</v>
      </c>
      <c r="D20" s="59" t="str">
        <f>IF(D10="","",IF(LastRealized="",ROUNDUP(LastPlanned/D10+SprintCount-1,0),ROUNDUP((LastPlanned-LastRealized)/D10,0)+SprintCount))</f>
        <v/>
      </c>
      <c r="F20" t="s">
        <v>79</v>
      </c>
      <c r="G20">
        <f ca="1">LastRealized</f>
        <v>1</v>
      </c>
    </row>
    <row r="21" spans="1:17" x14ac:dyDescent="0.2">
      <c r="A21" t="s">
        <v>66</v>
      </c>
      <c r="D21" s="59" t="str">
        <f>IF(D11="","",IF(LastRealized="",ROUNDUP(LastPlanned/D11+SprintCount-1,0),ROUNDUP((LastPlanned-LastRealized)/D11,0)+SprintCount))</f>
        <v/>
      </c>
    </row>
    <row r="22" spans="1:17" x14ac:dyDescent="0.2">
      <c r="A22" t="s">
        <v>68</v>
      </c>
      <c r="D22" s="59" t="str">
        <f ca="1">IF(COUNT(M28:M51)-1&gt;0,COUNT(M28:M51)-1,"")</f>
        <v/>
      </c>
    </row>
    <row r="23" spans="1:17" x14ac:dyDescent="0.2">
      <c r="A23" t="s">
        <v>80</v>
      </c>
      <c r="D23" s="59" t="str">
        <f ca="1">IF(D9="","",IF(LastRealized="",ROUNDUP(LastPlanned/(D9+G17)+SprintCount-1,0),ROUNDUP((LastPlanned-LastRealized)/(D9+G17)+SprintCount,0)))</f>
        <v/>
      </c>
    </row>
    <row r="24" spans="1:17" x14ac:dyDescent="0.2">
      <c r="A24" t="s">
        <v>81</v>
      </c>
      <c r="D24" s="59" t="str">
        <f ca="1">IF(D9="","",IF(LastRealized="",ROUNDUP(LastPlanned/(D9-G17)+SprintCount-1,0),ROUNDUP((LastPlanned-LastRealized)/(D9-G17)+SprintCount,0)))</f>
        <v/>
      </c>
    </row>
    <row r="26" spans="1:17" ht="12.75" customHeight="1" x14ac:dyDescent="0.2">
      <c r="F26" s="88" t="s">
        <v>68</v>
      </c>
      <c r="G26" s="88"/>
      <c r="H26" s="88"/>
      <c r="I26" s="88"/>
      <c r="J26" s="88"/>
      <c r="K26" s="88"/>
      <c r="L26" s="88"/>
      <c r="M26" s="88"/>
      <c r="N26" s="88"/>
      <c r="O26" s="88" t="s">
        <v>82</v>
      </c>
      <c r="P26" s="88"/>
      <c r="Q26" s="88"/>
    </row>
    <row r="27" spans="1:17" s="3" customFormat="1" ht="26.25" thickBot="1" x14ac:dyDescent="0.25">
      <c r="A27" s="60" t="s">
        <v>11</v>
      </c>
      <c r="B27" s="61" t="s">
        <v>83</v>
      </c>
      <c r="C27" s="61" t="s">
        <v>84</v>
      </c>
      <c r="D27" s="62" t="s">
        <v>85</v>
      </c>
      <c r="E27" s="62" t="s">
        <v>86</v>
      </c>
      <c r="F27" s="81" t="s">
        <v>87</v>
      </c>
      <c r="G27" s="87" t="s">
        <v>88</v>
      </c>
      <c r="H27" s="87"/>
      <c r="I27" s="81" t="s">
        <v>89</v>
      </c>
      <c r="J27" s="63"/>
      <c r="K27" s="81" t="s">
        <v>90</v>
      </c>
      <c r="L27" s="81" t="s">
        <v>91</v>
      </c>
      <c r="M27" s="81" t="s">
        <v>92</v>
      </c>
      <c r="N27" s="64" t="s">
        <v>93</v>
      </c>
      <c r="O27" s="81" t="s">
        <v>94</v>
      </c>
      <c r="P27" s="81" t="s">
        <v>95</v>
      </c>
      <c r="Q27" s="81" t="s">
        <v>96</v>
      </c>
    </row>
    <row r="28" spans="1:17" x14ac:dyDescent="0.2">
      <c r="A28" s="57">
        <v>1</v>
      </c>
      <c r="B28" s="2">
        <f>D3</f>
        <v>105</v>
      </c>
      <c r="C28" s="2"/>
      <c r="D28" s="2"/>
      <c r="E28" s="57">
        <f>B28</f>
        <v>105</v>
      </c>
      <c r="F28" s="55">
        <f>B28</f>
        <v>105</v>
      </c>
      <c r="G28" s="55">
        <f t="shared" ref="G28:G51" si="0">F28</f>
        <v>105</v>
      </c>
      <c r="H28" s="55">
        <f t="shared" ref="H28:H33" si="1">I28</f>
        <v>0</v>
      </c>
      <c r="I28" s="55">
        <v>0</v>
      </c>
      <c r="K28">
        <f t="shared" ref="K28:K33" si="2">IF(F28&lt;I28,I28,F28)</f>
        <v>105</v>
      </c>
      <c r="L28" s="55">
        <f t="shared" ref="L28:L51" ca="1" si="3">IF(TREND(OFFSET($K$27,TrendOffset+1,0,SprintsInTrend,1),OFFSET($A$27,TrendOffset+1,0,SprintsInTrend,1),A28)&lt;N28,N28,TREND(OFFSET($K$27,TrendOffset+1,0,SprintsInTrend,1),OFFSET($A$27,TrendOffset+1,0,SprintsInTrend,1),A28))</f>
        <v>105</v>
      </c>
      <c r="M28" s="55">
        <f ca="1">L28</f>
        <v>105</v>
      </c>
      <c r="N28" s="55">
        <f t="shared" ref="N28:N51" ca="1" si="4">OFFSET($I$27,TrendSprintCount,0,1,1)</f>
        <v>0</v>
      </c>
      <c r="O28" s="65" t="str">
        <f t="shared" ref="O28:O51" ca="1" si="5">D$9</f>
        <v/>
      </c>
      <c r="P28" s="65" t="str">
        <f t="shared" ref="P28:P51" si="6">D$10</f>
        <v/>
      </c>
      <c r="Q28" s="65" t="str">
        <f t="shared" ref="Q28:Q51" si="7">D$11</f>
        <v/>
      </c>
    </row>
    <row r="29" spans="1:17" x14ac:dyDescent="0.2">
      <c r="A29" s="57">
        <v>2</v>
      </c>
      <c r="B29" s="2" t="str">
        <f t="shared" ref="B29:B51" si="8">IF(OR(B28="",C28=""),"",IF(D28="",IF(B28-C28&lt;=0,"",B28-C28),IF(B28-D28&lt;=0,"",B28-D28)))</f>
        <v/>
      </c>
      <c r="C29" s="2"/>
      <c r="D29" s="2"/>
      <c r="E29" s="57" t="str">
        <f>IF(B29="","",IF(D28="",E28,B29+SUM(D$28:D28)))</f>
        <v/>
      </c>
      <c r="F29" s="55" t="str">
        <f t="shared" ref="F29:F34" si="9">IF(B29="",IF(B28="","",IF(D28="","",I28)),IF(AND(D28="",C28=""),"",IF(AND(D28="",C28&lt;&gt;""),IF(I28&gt;F28,F28,I28),F28-D28)))</f>
        <v/>
      </c>
      <c r="G29" s="55" t="str">
        <f t="shared" si="0"/>
        <v/>
      </c>
      <c r="H29" s="55" t="str">
        <f t="shared" si="1"/>
        <v/>
      </c>
      <c r="I29" s="55" t="str">
        <f>IF(B29="",IF(B28="","",IF(D28="","",F28-D28)),IF(AND(C28="",D28=""),"",IF(AND(D28="",C28&lt;&gt;""),IF(I28&gt;F28,I28-C28,F28-C28),B$28-B29-SUM(D$28:D28))))</f>
        <v/>
      </c>
      <c r="K29" t="str">
        <f t="shared" si="2"/>
        <v/>
      </c>
      <c r="L29" s="55">
        <f t="shared" ca="1" si="3"/>
        <v>105</v>
      </c>
      <c r="M29" s="55" t="str">
        <f ca="1">IF(L29=L28,"",L29)</f>
        <v/>
      </c>
      <c r="N29" s="55">
        <f t="shared" ca="1" si="4"/>
        <v>0</v>
      </c>
      <c r="O29" s="65" t="str">
        <f t="shared" ca="1" si="5"/>
        <v/>
      </c>
      <c r="P29" s="65" t="str">
        <f t="shared" si="6"/>
        <v/>
      </c>
      <c r="Q29" s="65" t="str">
        <f t="shared" si="7"/>
        <v/>
      </c>
    </row>
    <row r="30" spans="1:17" x14ac:dyDescent="0.2">
      <c r="A30" s="57">
        <v>3</v>
      </c>
      <c r="B30" s="2" t="str">
        <f t="shared" si="8"/>
        <v/>
      </c>
      <c r="C30" s="2"/>
      <c r="D30" s="2"/>
      <c r="E30" s="57" t="str">
        <f>IF(B30="","",IF(D29="",E29,B30+SUM(D$28:D29)))</f>
        <v/>
      </c>
      <c r="F30" s="55" t="str">
        <f t="shared" si="9"/>
        <v/>
      </c>
      <c r="G30" s="55" t="str">
        <f t="shared" si="0"/>
        <v/>
      </c>
      <c r="H30" s="55" t="str">
        <f t="shared" si="1"/>
        <v/>
      </c>
      <c r="I30" s="55" t="str">
        <f>IF(B30="",IF(B29="","",IF(D29="","",F29-D29)),IF(AND(C29="",D29=""),"",IF(AND(D29="",C29&lt;&gt;""),IF(I29&gt;F29,I29-C29,F29-C29),B$28-B30-SUM(D$28:D29))))</f>
        <v/>
      </c>
      <c r="K30" t="str">
        <f t="shared" si="2"/>
        <v/>
      </c>
      <c r="L30" s="55">
        <f t="shared" ca="1" si="3"/>
        <v>105</v>
      </c>
      <c r="M30" s="55" t="str">
        <f t="shared" ref="M30:M51" ca="1" si="10">IF(L30=L29,"",L30)</f>
        <v/>
      </c>
      <c r="N30" s="55">
        <f t="shared" ca="1" si="4"/>
        <v>0</v>
      </c>
      <c r="O30" s="65" t="str">
        <f t="shared" ca="1" si="5"/>
        <v/>
      </c>
      <c r="P30" s="65" t="str">
        <f t="shared" si="6"/>
        <v/>
      </c>
      <c r="Q30" s="65" t="str">
        <f t="shared" si="7"/>
        <v/>
      </c>
    </row>
    <row r="31" spans="1:17" x14ac:dyDescent="0.2">
      <c r="A31" s="57">
        <v>4</v>
      </c>
      <c r="B31" s="2" t="str">
        <f t="shared" si="8"/>
        <v/>
      </c>
      <c r="C31" s="2"/>
      <c r="D31" s="2"/>
      <c r="E31" s="57" t="str">
        <f>IF(B31="","",IF(D30="",E30,B31+SUM(D$28:D30)))</f>
        <v/>
      </c>
      <c r="F31" s="55" t="str">
        <f t="shared" si="9"/>
        <v/>
      </c>
      <c r="G31" s="55" t="str">
        <f t="shared" si="0"/>
        <v/>
      </c>
      <c r="H31" s="55" t="str">
        <f t="shared" si="1"/>
        <v/>
      </c>
      <c r="I31" s="55" t="str">
        <f>IF(B31="",IF(B30="","",IF(D30="","",F30-D30)),IF(AND(C30="",D30=""),"",IF(AND(D30="",C30&lt;&gt;""),IF(I30&gt;F30,I30-C30,F30-C30),B$28-B31-SUM(D$28:D30))))</f>
        <v/>
      </c>
      <c r="K31" t="str">
        <f t="shared" si="2"/>
        <v/>
      </c>
      <c r="L31" s="55">
        <f t="shared" ca="1" si="3"/>
        <v>105</v>
      </c>
      <c r="M31" s="55" t="str">
        <f t="shared" ca="1" si="10"/>
        <v/>
      </c>
      <c r="N31" s="55">
        <f t="shared" ca="1" si="4"/>
        <v>0</v>
      </c>
      <c r="O31" s="65" t="str">
        <f t="shared" ca="1" si="5"/>
        <v/>
      </c>
      <c r="P31" s="65" t="str">
        <f t="shared" si="6"/>
        <v/>
      </c>
      <c r="Q31" s="65" t="str">
        <f t="shared" si="7"/>
        <v/>
      </c>
    </row>
    <row r="32" spans="1:17" x14ac:dyDescent="0.2">
      <c r="A32" s="57">
        <v>5</v>
      </c>
      <c r="B32" s="2" t="str">
        <f>IF(OR(B31="",C31=""),"",IF(D31="",IF(B31-C31&lt;=0,"",B31-C31),IF(B31-D31&lt;=0,"",B31-D31)))</f>
        <v/>
      </c>
      <c r="C32" s="2"/>
      <c r="D32" s="2"/>
      <c r="E32" s="57" t="str">
        <f>IF(B32="","",IF(D31="",E31,B32+SUM(D$28:D31)))</f>
        <v/>
      </c>
      <c r="F32" s="55" t="str">
        <f t="shared" si="9"/>
        <v/>
      </c>
      <c r="G32" s="55" t="str">
        <f t="shared" si="0"/>
        <v/>
      </c>
      <c r="H32" s="55" t="str">
        <f t="shared" si="1"/>
        <v/>
      </c>
      <c r="I32" s="55" t="str">
        <f>IF(B32="",IF(B31="","",IF(D31="","",F31-D31)),IF(AND(C31="",D31=""),"",IF(AND(D31="",C31&lt;&gt;""),IF(I31&gt;F31,I31-C31,F31-C31),B$28-B32-SUM(D$28:D31))))</f>
        <v/>
      </c>
      <c r="K32" t="str">
        <f t="shared" si="2"/>
        <v/>
      </c>
      <c r="L32" s="55">
        <f t="shared" ca="1" si="3"/>
        <v>105</v>
      </c>
      <c r="M32" s="55" t="str">
        <f t="shared" ca="1" si="10"/>
        <v/>
      </c>
      <c r="N32" s="55">
        <f t="shared" ca="1" si="4"/>
        <v>0</v>
      </c>
      <c r="O32" s="65" t="str">
        <f t="shared" ca="1" si="5"/>
        <v/>
      </c>
      <c r="P32" s="65" t="str">
        <f t="shared" si="6"/>
        <v/>
      </c>
      <c r="Q32" s="65" t="str">
        <f t="shared" si="7"/>
        <v/>
      </c>
    </row>
    <row r="33" spans="1:17" x14ac:dyDescent="0.2">
      <c r="A33" s="57">
        <v>6</v>
      </c>
      <c r="B33" s="2" t="str">
        <f>IF(OR(B32="",C32=""),"",IF(D32="",IF(B32-C32&lt;=0,"",B32-C32),IF(B32-D32&lt;=0,"",B32-D32)))</f>
        <v/>
      </c>
      <c r="C33" s="2"/>
      <c r="D33" s="2"/>
      <c r="E33" s="57" t="str">
        <f>IF(B33="","",IF(D32="",E32,B33+SUM(D$28:D32)))</f>
        <v/>
      </c>
      <c r="F33" s="55" t="str">
        <f t="shared" si="9"/>
        <v/>
      </c>
      <c r="G33" s="55" t="str">
        <f t="shared" si="0"/>
        <v/>
      </c>
      <c r="H33" s="55" t="str">
        <f t="shared" si="1"/>
        <v/>
      </c>
      <c r="I33" s="55" t="str">
        <f>IF(B33="",IF(B32="","",IF(D32="","",F32-D32)),IF(AND(C32="",D32=""),"",IF(AND(D32="",C32&lt;&gt;""),IF(I32&gt;F32,I32-C32,F32-C32),B$28-B33-SUM(D$28:D32))))</f>
        <v/>
      </c>
      <c r="K33" t="str">
        <f t="shared" si="2"/>
        <v/>
      </c>
      <c r="L33" s="55">
        <f t="shared" ca="1" si="3"/>
        <v>105</v>
      </c>
      <c r="M33" s="55" t="str">
        <f t="shared" ca="1" si="10"/>
        <v/>
      </c>
      <c r="N33" s="55">
        <f t="shared" ca="1" si="4"/>
        <v>0</v>
      </c>
      <c r="O33" s="65" t="str">
        <f t="shared" ca="1" si="5"/>
        <v/>
      </c>
      <c r="P33" s="65" t="str">
        <f t="shared" si="6"/>
        <v/>
      </c>
      <c r="Q33" s="65" t="str">
        <f t="shared" si="7"/>
        <v/>
      </c>
    </row>
    <row r="34" spans="1:17" x14ac:dyDescent="0.2">
      <c r="A34" s="57">
        <v>7</v>
      </c>
      <c r="B34" s="2" t="str">
        <f>IF(OR(B33="",C33=""),"",IF(D33="",IF(B33-C33&lt;=0,"",B33-C33),IF(B33-D33&lt;=0,"",B33-D33)))</f>
        <v/>
      </c>
      <c r="C34" s="2"/>
      <c r="D34" s="2"/>
      <c r="E34" s="57" t="str">
        <f>IF(B34="","",IF(D33="",E33,B34+SUM(D$28:D33)))</f>
        <v/>
      </c>
      <c r="F34" s="55" t="str">
        <f t="shared" si="9"/>
        <v/>
      </c>
      <c r="G34" s="55" t="str">
        <f t="shared" si="0"/>
        <v/>
      </c>
      <c r="H34" s="55" t="str">
        <f t="shared" ref="H34:H51" si="11">I34</f>
        <v/>
      </c>
      <c r="I34" s="55" t="str">
        <f>IF(B34="",IF(B33="","",IF(D33="","",F33-D33)),IF(AND(C33="",D33=""),"",IF(AND(D33="",C33&lt;&gt;""),IF(I33&gt;F33,I33-C33,F33-C33),B$28-B34-SUM(D$28:D33))))</f>
        <v/>
      </c>
      <c r="K34" t="str">
        <f t="shared" ref="K34:K51" si="12">IF(F34&lt;I34,I34,F34)</f>
        <v/>
      </c>
      <c r="L34" s="55">
        <f t="shared" ca="1" si="3"/>
        <v>105</v>
      </c>
      <c r="M34" s="55" t="str">
        <f t="shared" ca="1" si="10"/>
        <v/>
      </c>
      <c r="N34" s="55">
        <f t="shared" ca="1" si="4"/>
        <v>0</v>
      </c>
      <c r="O34" s="65" t="str">
        <f t="shared" ca="1" si="5"/>
        <v/>
      </c>
      <c r="P34" s="65" t="str">
        <f t="shared" si="6"/>
        <v/>
      </c>
      <c r="Q34" s="65" t="str">
        <f t="shared" si="7"/>
        <v/>
      </c>
    </row>
    <row r="35" spans="1:17" x14ac:dyDescent="0.2">
      <c r="A35" s="57">
        <v>8</v>
      </c>
      <c r="B35" s="2" t="str">
        <f t="shared" si="8"/>
        <v/>
      </c>
      <c r="C35" s="2"/>
      <c r="D35" s="2"/>
      <c r="E35" s="57" t="str">
        <f>IF(B35="","",IF(D34="",E34,B35+SUM(D$28:D34)))</f>
        <v/>
      </c>
      <c r="F35" s="55" t="str">
        <f t="shared" ref="F35:F51" si="13">IF(B35="",IF(B34="","",IF(D34="","",I34)),IF(AND(D34="",C34=""),"",IF(AND(D34="",C34&lt;&gt;""),IF(I34&gt;F34,F34,I34),F34-D34)))</f>
        <v/>
      </c>
      <c r="G35" s="55" t="str">
        <f t="shared" si="0"/>
        <v/>
      </c>
      <c r="H35" s="55" t="str">
        <f t="shared" si="11"/>
        <v/>
      </c>
      <c r="I35" s="55" t="str">
        <f>IF(B35="",IF(B34="","",IF(D34="","",F34-D34)),IF(AND(C34="",D34=""),"",IF(AND(D34="",C34&lt;&gt;""),IF(I34&gt;F34,I34-C34,F34-C34),B$28-B35-SUM(D$28:D34))))</f>
        <v/>
      </c>
      <c r="K35" t="str">
        <f t="shared" si="12"/>
        <v/>
      </c>
      <c r="L35" s="55">
        <f t="shared" ca="1" si="3"/>
        <v>105</v>
      </c>
      <c r="M35" s="55" t="str">
        <f t="shared" ca="1" si="10"/>
        <v/>
      </c>
      <c r="N35" s="55">
        <f t="shared" ca="1" si="4"/>
        <v>0</v>
      </c>
      <c r="O35" s="65" t="str">
        <f t="shared" ca="1" si="5"/>
        <v/>
      </c>
      <c r="P35" s="65" t="str">
        <f t="shared" si="6"/>
        <v/>
      </c>
      <c r="Q35" s="65" t="str">
        <f t="shared" si="7"/>
        <v/>
      </c>
    </row>
    <row r="36" spans="1:17" x14ac:dyDescent="0.2">
      <c r="A36" s="57">
        <v>9</v>
      </c>
      <c r="B36" s="2" t="str">
        <f t="shared" si="8"/>
        <v/>
      </c>
      <c r="C36" s="2"/>
      <c r="D36" s="2"/>
      <c r="E36" s="57" t="str">
        <f>IF(B36="","",IF(D35="",E35,B36+SUM(D$28:D35)))</f>
        <v/>
      </c>
      <c r="F36" s="55" t="str">
        <f t="shared" si="13"/>
        <v/>
      </c>
      <c r="G36" s="55" t="str">
        <f t="shared" si="0"/>
        <v/>
      </c>
      <c r="H36" s="55" t="str">
        <f t="shared" si="11"/>
        <v/>
      </c>
      <c r="I36" s="55" t="str">
        <f>IF(B36="",IF(B35="","",IF(D35="","",F35-D35)),IF(AND(C35="",D35=""),"",IF(AND(D35="",C35&lt;&gt;""),IF(I35&gt;F35,I35-C35,F35-C35),B$28-B36-SUM(D$28:D35))))</f>
        <v/>
      </c>
      <c r="K36" t="str">
        <f t="shared" si="12"/>
        <v/>
      </c>
      <c r="L36" s="55">
        <f t="shared" ca="1" si="3"/>
        <v>105</v>
      </c>
      <c r="M36" s="55" t="str">
        <f t="shared" ca="1" si="10"/>
        <v/>
      </c>
      <c r="N36" s="55">
        <f t="shared" ca="1" si="4"/>
        <v>0</v>
      </c>
      <c r="O36" s="65" t="str">
        <f t="shared" ca="1" si="5"/>
        <v/>
      </c>
      <c r="P36" s="65" t="str">
        <f t="shared" si="6"/>
        <v/>
      </c>
      <c r="Q36" s="65" t="str">
        <f t="shared" si="7"/>
        <v/>
      </c>
    </row>
    <row r="37" spans="1:17" x14ac:dyDescent="0.2">
      <c r="A37" s="57">
        <v>10</v>
      </c>
      <c r="B37" s="2" t="str">
        <f t="shared" si="8"/>
        <v/>
      </c>
      <c r="C37" s="2"/>
      <c r="D37" s="2"/>
      <c r="E37" s="57" t="str">
        <f>IF(B37="","",IF(D36="",E36,B37+SUM(D$28:D36)))</f>
        <v/>
      </c>
      <c r="F37" s="55" t="str">
        <f t="shared" si="13"/>
        <v/>
      </c>
      <c r="G37" s="55" t="str">
        <f t="shared" si="0"/>
        <v/>
      </c>
      <c r="H37" s="55" t="str">
        <f t="shared" si="11"/>
        <v/>
      </c>
      <c r="I37" s="55" t="str">
        <f>IF(B37="",IF(B36="","",IF(D36="","",F36-D36)),IF(AND(C36="",D36=""),"",IF(AND(D36="",C36&lt;&gt;""),IF(I36&gt;F36,I36-C36,F36-C36),B$28-B37-SUM(D$28:D36))))</f>
        <v/>
      </c>
      <c r="K37" t="str">
        <f t="shared" si="12"/>
        <v/>
      </c>
      <c r="L37" s="55">
        <f t="shared" ca="1" si="3"/>
        <v>105</v>
      </c>
      <c r="M37" s="55" t="str">
        <f t="shared" ca="1" si="10"/>
        <v/>
      </c>
      <c r="N37" s="55">
        <f t="shared" ca="1" si="4"/>
        <v>0</v>
      </c>
      <c r="O37" s="65" t="str">
        <f t="shared" ca="1" si="5"/>
        <v/>
      </c>
      <c r="P37" s="65" t="str">
        <f t="shared" si="6"/>
        <v/>
      </c>
      <c r="Q37" s="65" t="str">
        <f t="shared" si="7"/>
        <v/>
      </c>
    </row>
    <row r="38" spans="1:17" x14ac:dyDescent="0.2">
      <c r="A38" s="57">
        <v>11</v>
      </c>
      <c r="B38" s="2" t="str">
        <f t="shared" si="8"/>
        <v/>
      </c>
      <c r="C38" s="2"/>
      <c r="D38" s="2"/>
      <c r="E38" s="57" t="str">
        <f>IF(B38="","",IF(D37="",E37,B38+SUM(D$28:D37)))</f>
        <v/>
      </c>
      <c r="F38" s="55" t="str">
        <f t="shared" si="13"/>
        <v/>
      </c>
      <c r="G38" s="55" t="str">
        <f t="shared" si="0"/>
        <v/>
      </c>
      <c r="H38" s="55" t="str">
        <f t="shared" si="11"/>
        <v/>
      </c>
      <c r="I38" s="55" t="str">
        <f>IF(B38="",IF(B37="","",IF(D37="","",F37-D37)),IF(AND(C37="",D37=""),"",IF(AND(D37="",C37&lt;&gt;""),IF(I37&gt;F37,I37-C37,F37-C37),B$28-B38-SUM(D$28:D37))))</f>
        <v/>
      </c>
      <c r="K38" t="str">
        <f t="shared" si="12"/>
        <v/>
      </c>
      <c r="L38" s="55">
        <f t="shared" ca="1" si="3"/>
        <v>105</v>
      </c>
      <c r="M38" s="55" t="str">
        <f t="shared" ca="1" si="10"/>
        <v/>
      </c>
      <c r="N38" s="55">
        <f t="shared" ca="1" si="4"/>
        <v>0</v>
      </c>
      <c r="O38" s="65" t="str">
        <f t="shared" ca="1" si="5"/>
        <v/>
      </c>
      <c r="P38" s="65" t="str">
        <f t="shared" si="6"/>
        <v/>
      </c>
      <c r="Q38" s="65" t="str">
        <f t="shared" si="7"/>
        <v/>
      </c>
    </row>
    <row r="39" spans="1:17" x14ac:dyDescent="0.2">
      <c r="A39" s="57">
        <v>12</v>
      </c>
      <c r="B39" s="2" t="str">
        <f t="shared" si="8"/>
        <v/>
      </c>
      <c r="C39" s="2"/>
      <c r="D39" s="2"/>
      <c r="E39" s="57" t="str">
        <f>IF(B39="","",IF(D38="",E38,B39+SUM(D$28:D38)))</f>
        <v/>
      </c>
      <c r="F39" s="55" t="str">
        <f t="shared" si="13"/>
        <v/>
      </c>
      <c r="G39" s="55" t="str">
        <f t="shared" si="0"/>
        <v/>
      </c>
      <c r="H39" s="55" t="str">
        <f t="shared" si="11"/>
        <v/>
      </c>
      <c r="I39" s="55" t="str">
        <f>IF(B39="",IF(B38="","",IF(D38="","",F38-D38)),IF(AND(C38="",D38=""),"",IF(AND(D38="",C38&lt;&gt;""),IF(I38&gt;F38,I38-C38,F38-C38),B$28-B39-SUM(D$28:D38))))</f>
        <v/>
      </c>
      <c r="K39" t="str">
        <f t="shared" si="12"/>
        <v/>
      </c>
      <c r="L39" s="55">
        <f t="shared" ca="1" si="3"/>
        <v>105</v>
      </c>
      <c r="M39" s="55" t="str">
        <f t="shared" ca="1" si="10"/>
        <v/>
      </c>
      <c r="N39" s="55">
        <f t="shared" ca="1" si="4"/>
        <v>0</v>
      </c>
      <c r="O39" s="65" t="str">
        <f t="shared" ca="1" si="5"/>
        <v/>
      </c>
      <c r="P39" s="65" t="str">
        <f t="shared" si="6"/>
        <v/>
      </c>
      <c r="Q39" s="65" t="str">
        <f t="shared" si="7"/>
        <v/>
      </c>
    </row>
    <row r="40" spans="1:17" x14ac:dyDescent="0.2">
      <c r="A40" s="57">
        <v>13</v>
      </c>
      <c r="B40" s="2" t="str">
        <f t="shared" si="8"/>
        <v/>
      </c>
      <c r="C40" s="2"/>
      <c r="E40" s="57" t="str">
        <f>IF(B40="","",IF(D39="",E39,B40+SUM(D$28:D39)))</f>
        <v/>
      </c>
      <c r="F40" s="55" t="str">
        <f t="shared" si="13"/>
        <v/>
      </c>
      <c r="G40" s="55" t="str">
        <f t="shared" si="0"/>
        <v/>
      </c>
      <c r="H40" s="55" t="str">
        <f t="shared" si="11"/>
        <v/>
      </c>
      <c r="I40" s="55" t="str">
        <f>IF(B40="",IF(B39="","",IF(D39="","",F39-D39)),IF(AND(C39="",D39=""),"",IF(AND(D39="",C39&lt;&gt;""),IF(I39&gt;F39,I39-C39,F39-C39),B$28-B40-SUM(D$28:D39))))</f>
        <v/>
      </c>
      <c r="K40" t="str">
        <f t="shared" si="12"/>
        <v/>
      </c>
      <c r="L40" s="55">
        <f t="shared" ca="1" si="3"/>
        <v>105</v>
      </c>
      <c r="M40" s="55" t="str">
        <f t="shared" ca="1" si="10"/>
        <v/>
      </c>
      <c r="N40" s="55">
        <f t="shared" ca="1" si="4"/>
        <v>0</v>
      </c>
      <c r="O40" s="65" t="str">
        <f t="shared" ca="1" si="5"/>
        <v/>
      </c>
      <c r="P40" s="65" t="str">
        <f t="shared" si="6"/>
        <v/>
      </c>
      <c r="Q40" s="65" t="str">
        <f t="shared" si="7"/>
        <v/>
      </c>
    </row>
    <row r="41" spans="1:17" x14ac:dyDescent="0.2">
      <c r="A41" s="57">
        <v>14</v>
      </c>
      <c r="B41" s="2" t="str">
        <f t="shared" si="8"/>
        <v/>
      </c>
      <c r="C41" s="2"/>
      <c r="E41" s="57" t="str">
        <f>IF(B41="","",IF(D40="",E40,B41+SUM(D$28:D40)))</f>
        <v/>
      </c>
      <c r="F41" s="55" t="str">
        <f t="shared" si="13"/>
        <v/>
      </c>
      <c r="G41" s="55" t="str">
        <f t="shared" si="0"/>
        <v/>
      </c>
      <c r="H41" s="55" t="str">
        <f t="shared" si="11"/>
        <v/>
      </c>
      <c r="I41" s="55" t="str">
        <f>IF(B41="",IF(B40="","",IF(D40="","",F40-D40)),IF(AND(C40="",D40=""),"",IF(AND(D40="",C40&lt;&gt;""),IF(I40&gt;F40,I40-C40,F40-C40),B$28-B41-SUM(D$28:D40))))</f>
        <v/>
      </c>
      <c r="K41" t="str">
        <f t="shared" si="12"/>
        <v/>
      </c>
      <c r="L41" s="55">
        <f t="shared" ca="1" si="3"/>
        <v>105</v>
      </c>
      <c r="M41" s="55" t="str">
        <f t="shared" ca="1" si="10"/>
        <v/>
      </c>
      <c r="N41" s="55">
        <f t="shared" ca="1" si="4"/>
        <v>0</v>
      </c>
      <c r="O41" s="65" t="str">
        <f t="shared" ca="1" si="5"/>
        <v/>
      </c>
      <c r="P41" s="65" t="str">
        <f t="shared" si="6"/>
        <v/>
      </c>
      <c r="Q41" s="65" t="str">
        <f t="shared" si="7"/>
        <v/>
      </c>
    </row>
    <row r="42" spans="1:17" x14ac:dyDescent="0.2">
      <c r="A42" s="57">
        <v>15</v>
      </c>
      <c r="B42" s="2" t="str">
        <f t="shared" si="8"/>
        <v/>
      </c>
      <c r="C42" s="2"/>
      <c r="E42" s="57" t="str">
        <f>IF(B42="","",IF(D41="",E41,B42+SUM(D$28:D41)))</f>
        <v/>
      </c>
      <c r="F42" s="55" t="str">
        <f t="shared" si="13"/>
        <v/>
      </c>
      <c r="G42" s="55" t="str">
        <f t="shared" si="0"/>
        <v/>
      </c>
      <c r="H42" s="55" t="str">
        <f t="shared" si="11"/>
        <v/>
      </c>
      <c r="I42" s="55" t="str">
        <f>IF(B42="",IF(B41="","",IF(D41="","",F41-D41)),IF(AND(C41="",D41=""),"",IF(AND(D41="",C41&lt;&gt;""),IF(I41&gt;F41,I41-C41,F41-C41),B$28-B42-SUM(D$28:D41))))</f>
        <v/>
      </c>
      <c r="K42" t="str">
        <f t="shared" si="12"/>
        <v/>
      </c>
      <c r="L42" s="55">
        <f t="shared" ca="1" si="3"/>
        <v>105</v>
      </c>
      <c r="M42" s="55" t="str">
        <f t="shared" ca="1" si="10"/>
        <v/>
      </c>
      <c r="N42" s="55">
        <f t="shared" ca="1" si="4"/>
        <v>0</v>
      </c>
      <c r="O42" s="65" t="str">
        <f t="shared" ca="1" si="5"/>
        <v/>
      </c>
      <c r="P42" s="65" t="str">
        <f t="shared" si="6"/>
        <v/>
      </c>
      <c r="Q42" s="65" t="str">
        <f t="shared" si="7"/>
        <v/>
      </c>
    </row>
    <row r="43" spans="1:17" x14ac:dyDescent="0.2">
      <c r="A43" s="57">
        <v>16</v>
      </c>
      <c r="B43" s="2" t="str">
        <f t="shared" si="8"/>
        <v/>
      </c>
      <c r="C43" s="2"/>
      <c r="E43" s="57" t="str">
        <f>IF(B43="","",IF(D42="",E42,B43+SUM(D$28:D42)))</f>
        <v/>
      </c>
      <c r="F43" s="55" t="str">
        <f t="shared" si="13"/>
        <v/>
      </c>
      <c r="G43" s="55" t="str">
        <f t="shared" si="0"/>
        <v/>
      </c>
      <c r="H43" s="55" t="str">
        <f t="shared" si="11"/>
        <v/>
      </c>
      <c r="I43" s="55" t="str">
        <f>IF(B43="",IF(B42="","",IF(D42="","",F42-D42)),IF(AND(C42="",D42=""),"",IF(AND(D42="",C42&lt;&gt;""),IF(I42&gt;F42,I42-C42,F42-C42),B$28-B43-SUM(D$28:D42))))</f>
        <v/>
      </c>
      <c r="K43" t="str">
        <f t="shared" si="12"/>
        <v/>
      </c>
      <c r="L43" s="55">
        <f t="shared" ca="1" si="3"/>
        <v>105</v>
      </c>
      <c r="M43" s="55" t="str">
        <f t="shared" ca="1" si="10"/>
        <v/>
      </c>
      <c r="N43" s="55">
        <f t="shared" ca="1" si="4"/>
        <v>0</v>
      </c>
      <c r="O43" s="65" t="str">
        <f t="shared" ca="1" si="5"/>
        <v/>
      </c>
      <c r="P43" s="65" t="str">
        <f t="shared" si="6"/>
        <v/>
      </c>
      <c r="Q43" s="65" t="str">
        <f t="shared" si="7"/>
        <v/>
      </c>
    </row>
    <row r="44" spans="1:17" x14ac:dyDescent="0.2">
      <c r="A44" s="57">
        <v>17</v>
      </c>
      <c r="B44" s="2" t="str">
        <f t="shared" si="8"/>
        <v/>
      </c>
      <c r="C44" s="2"/>
      <c r="E44" s="57" t="str">
        <f>IF(B44="","",IF(D43="",E43,B44+SUM(D$28:D43)))</f>
        <v/>
      </c>
      <c r="F44" s="55" t="str">
        <f t="shared" si="13"/>
        <v/>
      </c>
      <c r="G44" s="55" t="str">
        <f t="shared" si="0"/>
        <v/>
      </c>
      <c r="H44" s="55" t="str">
        <f t="shared" si="11"/>
        <v/>
      </c>
      <c r="I44" s="55" t="str">
        <f>IF(B44="",IF(B43="","",IF(D43="","",F43-D43)),IF(AND(C43="",D43=""),"",IF(AND(D43="",C43&lt;&gt;""),IF(I43&gt;F43,I43-C43,F43-C43),B$28-B44-SUM(D$28:D43))))</f>
        <v/>
      </c>
      <c r="K44" t="str">
        <f t="shared" si="12"/>
        <v/>
      </c>
      <c r="L44" s="55">
        <f t="shared" ca="1" si="3"/>
        <v>105</v>
      </c>
      <c r="M44" s="55" t="str">
        <f t="shared" ca="1" si="10"/>
        <v/>
      </c>
      <c r="N44" s="55">
        <f t="shared" ca="1" si="4"/>
        <v>0</v>
      </c>
      <c r="O44" s="65" t="str">
        <f t="shared" ca="1" si="5"/>
        <v/>
      </c>
      <c r="P44" s="65" t="str">
        <f t="shared" si="6"/>
        <v/>
      </c>
      <c r="Q44" s="65" t="str">
        <f t="shared" si="7"/>
        <v/>
      </c>
    </row>
    <row r="45" spans="1:17" x14ac:dyDescent="0.2">
      <c r="A45" s="57">
        <v>18</v>
      </c>
      <c r="B45" s="2" t="str">
        <f t="shared" si="8"/>
        <v/>
      </c>
      <c r="C45" s="2"/>
      <c r="E45" s="57" t="str">
        <f>IF(B45="","",IF(D44="",E44,B45+SUM(D$28:D44)))</f>
        <v/>
      </c>
      <c r="F45" s="55" t="str">
        <f t="shared" si="13"/>
        <v/>
      </c>
      <c r="G45" s="55" t="str">
        <f t="shared" si="0"/>
        <v/>
      </c>
      <c r="H45" s="55" t="str">
        <f t="shared" si="11"/>
        <v/>
      </c>
      <c r="I45" s="55" t="str">
        <f>IF(B45="",IF(B44="","",IF(D44="","",F44-D44)),IF(AND(C44="",D44=""),"",IF(AND(D44="",C44&lt;&gt;""),IF(I44&gt;F44,I44-C44,F44-C44),B$28-B45-SUM(D$28:D44))))</f>
        <v/>
      </c>
      <c r="K45" t="str">
        <f t="shared" si="12"/>
        <v/>
      </c>
      <c r="L45" s="55">
        <f t="shared" ca="1" si="3"/>
        <v>105</v>
      </c>
      <c r="M45" s="55" t="str">
        <f t="shared" ca="1" si="10"/>
        <v/>
      </c>
      <c r="N45" s="55">
        <f t="shared" ca="1" si="4"/>
        <v>0</v>
      </c>
      <c r="O45" s="65" t="str">
        <f t="shared" ca="1" si="5"/>
        <v/>
      </c>
      <c r="P45" s="65" t="str">
        <f t="shared" si="6"/>
        <v/>
      </c>
      <c r="Q45" s="65" t="str">
        <f t="shared" si="7"/>
        <v/>
      </c>
    </row>
    <row r="46" spans="1:17" x14ac:dyDescent="0.2">
      <c r="A46" s="57">
        <v>19</v>
      </c>
      <c r="B46" s="2" t="str">
        <f t="shared" si="8"/>
        <v/>
      </c>
      <c r="C46" s="2"/>
      <c r="E46" s="57" t="str">
        <f>IF(B46="","",IF(D45="",E45,B46+SUM(D$28:D45)))</f>
        <v/>
      </c>
      <c r="F46" s="55" t="str">
        <f t="shared" si="13"/>
        <v/>
      </c>
      <c r="G46" s="55" t="str">
        <f t="shared" si="0"/>
        <v/>
      </c>
      <c r="H46" s="55" t="str">
        <f t="shared" si="11"/>
        <v/>
      </c>
      <c r="I46" s="55" t="str">
        <f>IF(B46="",IF(B45="","",IF(D45="","",F45-D45)),IF(AND(C45="",D45=""),"",IF(AND(D45="",C45&lt;&gt;""),IF(I45&gt;F45,I45-C45,F45-C45),B$28-B46-SUM(D$28:D45))))</f>
        <v/>
      </c>
      <c r="K46" t="str">
        <f t="shared" si="12"/>
        <v/>
      </c>
      <c r="L46" s="55">
        <f t="shared" ca="1" si="3"/>
        <v>105</v>
      </c>
      <c r="M46" s="55" t="str">
        <f t="shared" ca="1" si="10"/>
        <v/>
      </c>
      <c r="N46" s="55">
        <f t="shared" ca="1" si="4"/>
        <v>0</v>
      </c>
      <c r="O46" s="65" t="str">
        <f t="shared" ca="1" si="5"/>
        <v/>
      </c>
      <c r="P46" s="65" t="str">
        <f t="shared" si="6"/>
        <v/>
      </c>
      <c r="Q46" s="65" t="str">
        <f t="shared" si="7"/>
        <v/>
      </c>
    </row>
    <row r="47" spans="1:17" x14ac:dyDescent="0.2">
      <c r="A47" s="57">
        <v>20</v>
      </c>
      <c r="B47" s="2" t="str">
        <f t="shared" si="8"/>
        <v/>
      </c>
      <c r="C47" s="2"/>
      <c r="E47" s="57" t="str">
        <f>IF(B47="","",IF(D46="",E46,B47+SUM(D$28:D46)))</f>
        <v/>
      </c>
      <c r="F47" s="55" t="str">
        <f t="shared" si="13"/>
        <v/>
      </c>
      <c r="G47" s="55" t="str">
        <f t="shared" si="0"/>
        <v/>
      </c>
      <c r="H47" s="55" t="str">
        <f t="shared" si="11"/>
        <v/>
      </c>
      <c r="I47" s="55" t="str">
        <f>IF(B47="",IF(B46="","",IF(D46="","",F46-D46)),IF(AND(C46="",D46=""),"",IF(AND(D46="",C46&lt;&gt;""),IF(I46&gt;F46,I46-C46,F46-C46),B$28-B47-SUM(D$28:D46))))</f>
        <v/>
      </c>
      <c r="K47" t="str">
        <f t="shared" si="12"/>
        <v/>
      </c>
      <c r="L47" s="55">
        <f t="shared" ca="1" si="3"/>
        <v>105</v>
      </c>
      <c r="M47" s="55" t="str">
        <f t="shared" ca="1" si="10"/>
        <v/>
      </c>
      <c r="N47" s="55">
        <f t="shared" ca="1" si="4"/>
        <v>0</v>
      </c>
      <c r="O47" s="65" t="str">
        <f t="shared" ca="1" si="5"/>
        <v/>
      </c>
      <c r="P47" s="65" t="str">
        <f t="shared" si="6"/>
        <v/>
      </c>
      <c r="Q47" s="65" t="str">
        <f t="shared" si="7"/>
        <v/>
      </c>
    </row>
    <row r="48" spans="1:17" x14ac:dyDescent="0.2">
      <c r="A48" s="57">
        <v>21</v>
      </c>
      <c r="B48" s="2" t="str">
        <f t="shared" si="8"/>
        <v/>
      </c>
      <c r="C48" s="2"/>
      <c r="E48" s="57" t="str">
        <f>IF(B48="","",IF(D47="",E47,B48+SUM(D$28:D47)))</f>
        <v/>
      </c>
      <c r="F48" s="55" t="str">
        <f t="shared" si="13"/>
        <v/>
      </c>
      <c r="G48" s="55" t="str">
        <f t="shared" si="0"/>
        <v/>
      </c>
      <c r="H48" s="55" t="str">
        <f t="shared" si="11"/>
        <v/>
      </c>
      <c r="I48" s="55" t="str">
        <f>IF(B48="",IF(B47="","",IF(D47="","",F47-D47)),IF(AND(C47="",D47=""),"",IF(AND(D47="",C47&lt;&gt;""),IF(I47&gt;F47,I47-C47,F47-C47),B$28-B48-SUM(D$28:D47))))</f>
        <v/>
      </c>
      <c r="K48" t="str">
        <f t="shared" si="12"/>
        <v/>
      </c>
      <c r="L48" s="55">
        <f t="shared" ca="1" si="3"/>
        <v>105</v>
      </c>
      <c r="M48" s="55" t="str">
        <f t="shared" ca="1" si="10"/>
        <v/>
      </c>
      <c r="N48" s="55">
        <f t="shared" ca="1" si="4"/>
        <v>0</v>
      </c>
      <c r="O48" s="65" t="str">
        <f t="shared" ca="1" si="5"/>
        <v/>
      </c>
      <c r="P48" s="65" t="str">
        <f t="shared" si="6"/>
        <v/>
      </c>
      <c r="Q48" s="65" t="str">
        <f t="shared" si="7"/>
        <v/>
      </c>
    </row>
    <row r="49" spans="1:17" x14ac:dyDescent="0.2">
      <c r="A49" s="57">
        <v>22</v>
      </c>
      <c r="B49" s="2" t="str">
        <f t="shared" si="8"/>
        <v/>
      </c>
      <c r="C49" s="2"/>
      <c r="E49" s="57" t="str">
        <f>IF(B49="","",IF(D48="",E48,B49+SUM(D$28:D48)))</f>
        <v/>
      </c>
      <c r="F49" s="55" t="str">
        <f t="shared" si="13"/>
        <v/>
      </c>
      <c r="G49" s="55" t="str">
        <f t="shared" si="0"/>
        <v/>
      </c>
      <c r="H49" s="55" t="str">
        <f t="shared" si="11"/>
        <v/>
      </c>
      <c r="I49" s="55" t="str">
        <f>IF(B49="",IF(B48="","",IF(D48="","",F48-D48)),IF(AND(C48="",D48=""),"",IF(AND(D48="",C48&lt;&gt;""),IF(I48&gt;F48,I48-C48,F48-C48),B$28-B49-SUM(D$28:D48))))</f>
        <v/>
      </c>
      <c r="K49" t="str">
        <f t="shared" si="12"/>
        <v/>
      </c>
      <c r="L49" s="55">
        <f t="shared" ca="1" si="3"/>
        <v>105</v>
      </c>
      <c r="M49" s="55" t="str">
        <f t="shared" ca="1" si="10"/>
        <v/>
      </c>
      <c r="N49" s="55">
        <f t="shared" ca="1" si="4"/>
        <v>0</v>
      </c>
      <c r="O49" s="65" t="str">
        <f t="shared" ca="1" si="5"/>
        <v/>
      </c>
      <c r="P49" s="65" t="str">
        <f t="shared" si="6"/>
        <v/>
      </c>
      <c r="Q49" s="65" t="str">
        <f t="shared" si="7"/>
        <v/>
      </c>
    </row>
    <row r="50" spans="1:17" x14ac:dyDescent="0.2">
      <c r="A50" s="57">
        <v>23</v>
      </c>
      <c r="B50" s="2" t="str">
        <f t="shared" si="8"/>
        <v/>
      </c>
      <c r="C50" s="2"/>
      <c r="E50" s="57" t="str">
        <f>IF(B50="","",IF(D49="",E49,B50+SUM(D$28:D49)))</f>
        <v/>
      </c>
      <c r="F50" s="55" t="str">
        <f t="shared" si="13"/>
        <v/>
      </c>
      <c r="G50" s="55" t="str">
        <f t="shared" si="0"/>
        <v/>
      </c>
      <c r="H50" s="55" t="str">
        <f t="shared" si="11"/>
        <v/>
      </c>
      <c r="I50" s="55" t="str">
        <f>IF(B50="",IF(B49="","",IF(D49="","",F49-D49)),IF(AND(C49="",D49=""),"",IF(AND(D49="",C49&lt;&gt;""),IF(I49&gt;F49,I49-C49,F49-C49),B$28-B50-SUM(D$28:D49))))</f>
        <v/>
      </c>
      <c r="K50" t="str">
        <f t="shared" si="12"/>
        <v/>
      </c>
      <c r="L50" s="55">
        <f t="shared" ca="1" si="3"/>
        <v>105</v>
      </c>
      <c r="M50" s="55" t="str">
        <f t="shared" ca="1" si="10"/>
        <v/>
      </c>
      <c r="N50" s="55">
        <f t="shared" ca="1" si="4"/>
        <v>0</v>
      </c>
      <c r="O50" s="65" t="str">
        <f t="shared" ca="1" si="5"/>
        <v/>
      </c>
      <c r="P50" s="65" t="str">
        <f t="shared" si="6"/>
        <v/>
      </c>
      <c r="Q50" s="65" t="str">
        <f t="shared" si="7"/>
        <v/>
      </c>
    </row>
    <row r="51" spans="1:17" x14ac:dyDescent="0.2">
      <c r="A51" s="57">
        <v>24</v>
      </c>
      <c r="B51" s="2" t="str">
        <f t="shared" si="8"/>
        <v/>
      </c>
      <c r="C51" s="2"/>
      <c r="E51" s="57" t="str">
        <f>IF(B51="","",IF(D50="",E50,B51+SUM(D$28:D50)))</f>
        <v/>
      </c>
      <c r="F51" s="55" t="str">
        <f t="shared" si="13"/>
        <v/>
      </c>
      <c r="G51" s="55" t="str">
        <f t="shared" si="0"/>
        <v/>
      </c>
      <c r="H51" s="55" t="str">
        <f t="shared" si="11"/>
        <v/>
      </c>
      <c r="I51" s="55" t="str">
        <f>IF(B51="",IF(B50="","",IF(D50="","",F50-D50)),IF(AND(C50="",D50=""),"",IF(AND(D50="",C50&lt;&gt;""),IF(I50&gt;F50,I50-C50,F50-C50),B$28-B51-SUM(D$28:D50))))</f>
        <v/>
      </c>
      <c r="K51" t="str">
        <f t="shared" si="12"/>
        <v/>
      </c>
      <c r="L51" s="55">
        <f t="shared" ca="1" si="3"/>
        <v>105</v>
      </c>
      <c r="M51" s="55" t="str">
        <f t="shared" ca="1" si="10"/>
        <v/>
      </c>
      <c r="N51" s="55">
        <f t="shared" ca="1" si="4"/>
        <v>0</v>
      </c>
      <c r="O51" s="65" t="str">
        <f t="shared" ca="1" si="5"/>
        <v/>
      </c>
      <c r="P51" s="65" t="str">
        <f t="shared" si="6"/>
        <v/>
      </c>
      <c r="Q51" s="65" t="str">
        <f t="shared" si="7"/>
        <v/>
      </c>
    </row>
  </sheetData>
  <mergeCells count="5">
    <mergeCell ref="A8:B8"/>
    <mergeCell ref="A18:B18"/>
    <mergeCell ref="G27:H27"/>
    <mergeCell ref="O26:Q26"/>
    <mergeCell ref="F26:N26"/>
  </mergeCells>
  <phoneticPr fontId="2" type="noConversion"/>
  <conditionalFormatting sqref="K27:N27 A27:G27 F26 I27 O26:O27 P27:Q27">
    <cfRule type="expression" dxfId="24" priority="1" stopIfTrue="1">
      <formula>$D26="Done"</formula>
    </cfRule>
    <cfRule type="expression" dxfId="23" priority="2" stopIfTrue="1">
      <formula>$D26="Ongoing"</formula>
    </cfRule>
    <cfRule type="expression" dxfId="22" priority="3" stopIfTrue="1">
      <formula>$D26="Removed"</formula>
    </cfRule>
  </conditionalFormatting>
  <pageMargins left="0.78740157499999996" right="0.78740157499999996" top="0.984251969" bottom="0.984251969" header="0.5" footer="0.5"/>
  <pageSetup paperSize="9" orientation="portrait" r:id="rId1"/>
  <headerFooter alignWithMargins="0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AD64"/>
  <sheetViews>
    <sheetView workbookViewId="0">
      <pane ySplit="14" topLeftCell="A15" activePane="bottomLeft" state="frozen"/>
      <selection pane="bottomLeft" activeCell="C26" sqref="C26"/>
    </sheetView>
  </sheetViews>
  <sheetFormatPr baseColWidth="10" defaultColWidth="9.140625" defaultRowHeight="12.75" x14ac:dyDescent="0.2"/>
  <cols>
    <col min="1" max="1" width="38.42578125" customWidth="1"/>
    <col min="2" max="2" width="8.5703125" style="2" customWidth="1"/>
    <col min="3" max="3" width="13.7109375" customWidth="1"/>
    <col min="4" max="4" width="10.85546875" customWidth="1"/>
    <col min="5" max="5" width="6.5703125" style="2" customWidth="1"/>
    <col min="6" max="30" width="4.42578125" style="2" customWidth="1"/>
    <col min="31" max="256" width="11.42578125" customWidth="1"/>
  </cols>
  <sheetData>
    <row r="1" spans="1:30" ht="18" x14ac:dyDescent="0.25">
      <c r="A1" s="80">
        <v>0.1</v>
      </c>
      <c r="B1" s="37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</row>
    <row r="2" spans="1:30" x14ac:dyDescent="0.2">
      <c r="A2" t="s">
        <v>97</v>
      </c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</row>
    <row r="9" spans="1:30" x14ac:dyDescent="0.2">
      <c r="A9" s="18" t="s">
        <v>98</v>
      </c>
      <c r="B9" s="36">
        <v>5</v>
      </c>
      <c r="C9" s="18"/>
      <c r="D9" s="16"/>
      <c r="E9" s="20" t="s">
        <v>99</v>
      </c>
      <c r="F9" s="20" t="s">
        <v>100</v>
      </c>
      <c r="G9" s="20"/>
      <c r="H9" s="20"/>
      <c r="I9" s="20"/>
      <c r="J9" s="20"/>
      <c r="K9" s="20"/>
      <c r="L9" s="20"/>
      <c r="M9" s="21"/>
      <c r="N9" s="21"/>
      <c r="O9" s="21"/>
      <c r="P9" s="21"/>
      <c r="Q9" s="21"/>
      <c r="R9" s="21"/>
      <c r="S9" s="21"/>
      <c r="T9" s="21"/>
      <c r="U9" s="21"/>
      <c r="V9" s="21"/>
      <c r="W9" s="21"/>
      <c r="X9" s="21"/>
      <c r="Y9" s="21"/>
      <c r="Z9" s="21"/>
      <c r="AA9" s="21"/>
      <c r="AB9" s="21"/>
      <c r="AC9" s="21"/>
      <c r="AD9" s="21"/>
    </row>
    <row r="10" spans="1:30" x14ac:dyDescent="0.2">
      <c r="A10" s="18" t="s">
        <v>101</v>
      </c>
      <c r="B10" s="36">
        <v>5</v>
      </c>
      <c r="C10" s="18" t="s">
        <v>3</v>
      </c>
      <c r="D10" s="18" t="s">
        <v>102</v>
      </c>
      <c r="E10" s="17">
        <f ca="1">SUM(OFFSET(E14,1,0,TaskRows,1))</f>
        <v>14</v>
      </c>
      <c r="F10" s="17">
        <f ca="1">IF(AND(SUM(OFFSET(F14,1,0,TaskRows,1))=0),0,SUM(OFFSET(F14,1,0,TaskRows,1)))</f>
        <v>6</v>
      </c>
      <c r="G10" s="17" t="str">
        <f t="shared" ref="G10:AD10" ca="1" si="0">IF(AND(SUM(OFFSET(G14,1,0,TaskRows,1))=0),"",SUM(OFFSET(G14,1,0,TaskRows,1)))</f>
        <v/>
      </c>
      <c r="H10" s="17" t="str">
        <f t="shared" ca="1" si="0"/>
        <v/>
      </c>
      <c r="I10" s="17" t="str">
        <f t="shared" ca="1" si="0"/>
        <v/>
      </c>
      <c r="J10" s="17" t="str">
        <f t="shared" ca="1" si="0"/>
        <v/>
      </c>
      <c r="K10" s="17" t="str">
        <f t="shared" ca="1" si="0"/>
        <v/>
      </c>
      <c r="L10" s="17" t="str">
        <f t="shared" ca="1" si="0"/>
        <v/>
      </c>
      <c r="M10" s="17" t="str">
        <f t="shared" ca="1" si="0"/>
        <v/>
      </c>
      <c r="N10" s="17" t="str">
        <f t="shared" ca="1" si="0"/>
        <v/>
      </c>
      <c r="O10" s="17" t="str">
        <f t="shared" ca="1" si="0"/>
        <v/>
      </c>
      <c r="P10" s="17" t="str">
        <f t="shared" ca="1" si="0"/>
        <v/>
      </c>
      <c r="Q10" s="17" t="str">
        <f t="shared" ca="1" si="0"/>
        <v/>
      </c>
      <c r="R10" s="17" t="str">
        <f t="shared" ca="1" si="0"/>
        <v/>
      </c>
      <c r="S10" s="17" t="str">
        <f t="shared" ca="1" si="0"/>
        <v/>
      </c>
      <c r="T10" s="17" t="str">
        <f t="shared" ca="1" si="0"/>
        <v/>
      </c>
      <c r="U10" s="17" t="str">
        <f t="shared" ca="1" si="0"/>
        <v/>
      </c>
      <c r="V10" s="17" t="str">
        <f t="shared" ca="1" si="0"/>
        <v/>
      </c>
      <c r="W10" s="17" t="str">
        <f t="shared" ca="1" si="0"/>
        <v/>
      </c>
      <c r="X10" s="17" t="str">
        <f t="shared" ca="1" si="0"/>
        <v/>
      </c>
      <c r="Y10" s="17" t="str">
        <f t="shared" ca="1" si="0"/>
        <v/>
      </c>
      <c r="Z10" s="17" t="str">
        <f t="shared" ca="1" si="0"/>
        <v/>
      </c>
      <c r="AA10" s="17" t="str">
        <f t="shared" ca="1" si="0"/>
        <v/>
      </c>
      <c r="AB10" s="17" t="str">
        <f t="shared" ca="1" si="0"/>
        <v/>
      </c>
      <c r="AC10" s="17" t="str">
        <f t="shared" ca="1" si="0"/>
        <v/>
      </c>
      <c r="AD10" s="17" t="str">
        <f t="shared" ca="1" si="0"/>
        <v/>
      </c>
    </row>
    <row r="11" spans="1:30" hidden="1" x14ac:dyDescent="0.2">
      <c r="A11" t="s">
        <v>103</v>
      </c>
      <c r="B11" s="2">
        <f>IF(COUNTA(A15:A242)=0,1,COUNTA(A15:A242))</f>
        <v>4</v>
      </c>
      <c r="C11" t="s">
        <v>104</v>
      </c>
      <c r="D11" s="2">
        <f ca="1">IF(COUNTIF(F10:AD10,"&gt;0")=0,1,COUNTIF(F10:AD10,"&gt;0"))</f>
        <v>1</v>
      </c>
      <c r="F11" s="2">
        <f ca="1">IF(F14="","",$E10-$E10/($B9-1)*(F14-1))</f>
        <v>14</v>
      </c>
      <c r="G11" s="2">
        <f t="shared" ref="G11:AD11" ca="1" si="1">IF(G14="","",TotalEffort-TotalEffort/(ImplementationDays)*(G14-1))</f>
        <v>11.2</v>
      </c>
      <c r="H11" s="2">
        <f t="shared" ca="1" si="1"/>
        <v>8.4</v>
      </c>
      <c r="I11" s="2">
        <f t="shared" ca="1" si="1"/>
        <v>5.6000000000000014</v>
      </c>
      <c r="J11" s="2">
        <f t="shared" ca="1" si="1"/>
        <v>2.8000000000000007</v>
      </c>
      <c r="K11" s="2" t="str">
        <f t="shared" si="1"/>
        <v/>
      </c>
      <c r="L11" s="2" t="str">
        <f t="shared" si="1"/>
        <v/>
      </c>
      <c r="M11" s="2" t="str">
        <f t="shared" si="1"/>
        <v/>
      </c>
      <c r="N11" s="2" t="str">
        <f t="shared" si="1"/>
        <v/>
      </c>
      <c r="O11" s="2" t="str">
        <f t="shared" si="1"/>
        <v/>
      </c>
      <c r="P11" s="2" t="str">
        <f t="shared" si="1"/>
        <v/>
      </c>
      <c r="Q11" s="2" t="str">
        <f t="shared" si="1"/>
        <v/>
      </c>
      <c r="R11" s="2" t="str">
        <f t="shared" si="1"/>
        <v/>
      </c>
      <c r="S11" s="2" t="str">
        <f t="shared" si="1"/>
        <v/>
      </c>
      <c r="T11" s="2" t="str">
        <f t="shared" si="1"/>
        <v/>
      </c>
      <c r="U11" s="2" t="str">
        <f t="shared" si="1"/>
        <v/>
      </c>
      <c r="V11" s="2" t="str">
        <f t="shared" si="1"/>
        <v/>
      </c>
      <c r="W11" s="2" t="str">
        <f t="shared" si="1"/>
        <v/>
      </c>
      <c r="X11" s="2" t="str">
        <f t="shared" si="1"/>
        <v/>
      </c>
      <c r="Y11" s="2" t="str">
        <f t="shared" si="1"/>
        <v/>
      </c>
      <c r="Z11" s="2" t="str">
        <f t="shared" si="1"/>
        <v/>
      </c>
      <c r="AA11" s="2" t="str">
        <f t="shared" si="1"/>
        <v/>
      </c>
      <c r="AB11" s="2" t="str">
        <f t="shared" si="1"/>
        <v/>
      </c>
      <c r="AC11" s="2" t="str">
        <f t="shared" si="1"/>
        <v/>
      </c>
      <c r="AD11" s="2" t="str">
        <f t="shared" si="1"/>
        <v/>
      </c>
    </row>
    <row r="12" spans="1:30" hidden="1" x14ac:dyDescent="0.2">
      <c r="A12" s="56" t="s">
        <v>105</v>
      </c>
      <c r="B12"/>
      <c r="C12" t="s">
        <v>68</v>
      </c>
      <c r="D12" s="2"/>
      <c r="F12" s="2">
        <f t="shared" ref="F12:AD12" ca="1" si="2">IF(TREND(OFFSET($F10,0,DoneDays-TrendDays,1,TrendDays),OFFSET($F13,0,DoneDays-TrendDays,1,TrendDays),F13)&lt;0,"",TREND(OFFSET($F10,0,DoneDays-TrendDays,1,TrendDays),OFFSET($F13,0,DoneDays-TrendDays,1,TrendDays),F13))</f>
        <v>6</v>
      </c>
      <c r="G12" s="2">
        <f t="shared" ca="1" si="2"/>
        <v>6</v>
      </c>
      <c r="H12" s="2">
        <f t="shared" ca="1" si="2"/>
        <v>6</v>
      </c>
      <c r="I12" s="2">
        <f t="shared" ca="1" si="2"/>
        <v>6</v>
      </c>
      <c r="J12" s="2">
        <f t="shared" ca="1" si="2"/>
        <v>6</v>
      </c>
      <c r="K12" s="2">
        <f t="shared" ca="1" si="2"/>
        <v>6</v>
      </c>
      <c r="L12" s="2">
        <f t="shared" ca="1" si="2"/>
        <v>6</v>
      </c>
      <c r="M12" s="2">
        <f t="shared" ca="1" si="2"/>
        <v>6</v>
      </c>
      <c r="N12" s="2">
        <f t="shared" ca="1" si="2"/>
        <v>6</v>
      </c>
      <c r="O12" s="2">
        <f t="shared" ca="1" si="2"/>
        <v>6</v>
      </c>
      <c r="P12" s="2">
        <f t="shared" ca="1" si="2"/>
        <v>6</v>
      </c>
      <c r="Q12" s="2">
        <f t="shared" ca="1" si="2"/>
        <v>6</v>
      </c>
      <c r="R12" s="2">
        <f t="shared" ca="1" si="2"/>
        <v>6</v>
      </c>
      <c r="S12" s="2">
        <f t="shared" ca="1" si="2"/>
        <v>6</v>
      </c>
      <c r="T12" s="2">
        <f t="shared" ca="1" si="2"/>
        <v>6</v>
      </c>
      <c r="U12" s="2">
        <f t="shared" ca="1" si="2"/>
        <v>6</v>
      </c>
      <c r="V12" s="2">
        <f t="shared" ca="1" si="2"/>
        <v>6</v>
      </c>
      <c r="W12" s="2">
        <f t="shared" ca="1" si="2"/>
        <v>6</v>
      </c>
      <c r="X12" s="2">
        <f t="shared" ca="1" si="2"/>
        <v>6</v>
      </c>
      <c r="Y12" s="2">
        <f t="shared" ca="1" si="2"/>
        <v>6</v>
      </c>
      <c r="Z12" s="2">
        <f t="shared" ca="1" si="2"/>
        <v>6</v>
      </c>
      <c r="AA12" s="2">
        <f t="shared" ca="1" si="2"/>
        <v>6</v>
      </c>
      <c r="AB12" s="2">
        <f t="shared" ca="1" si="2"/>
        <v>6</v>
      </c>
      <c r="AC12" s="2">
        <f t="shared" ca="1" si="2"/>
        <v>6</v>
      </c>
      <c r="AD12" s="2">
        <f t="shared" ca="1" si="2"/>
        <v>6</v>
      </c>
    </row>
    <row r="13" spans="1:30" hidden="1" x14ac:dyDescent="0.2">
      <c r="A13" s="56" t="s">
        <v>106</v>
      </c>
      <c r="B13"/>
      <c r="C13" t="s">
        <v>107</v>
      </c>
      <c r="D13" s="2">
        <f ca="1">IF(DoneDays&gt;B10,B10,DoneDays)</f>
        <v>1</v>
      </c>
      <c r="F13" s="2">
        <f ca="1">IF(DoneDays&gt;E13,E13+1,"")</f>
        <v>1</v>
      </c>
      <c r="G13" s="2">
        <v>2</v>
      </c>
      <c r="H13" s="2">
        <v>3</v>
      </c>
      <c r="I13" s="2">
        <v>4</v>
      </c>
      <c r="J13" s="2">
        <v>5</v>
      </c>
      <c r="K13" s="2">
        <v>6</v>
      </c>
      <c r="L13" s="2">
        <v>7</v>
      </c>
      <c r="M13" s="2">
        <v>8</v>
      </c>
      <c r="N13" s="2">
        <v>9</v>
      </c>
      <c r="O13" s="2">
        <v>10</v>
      </c>
      <c r="P13" s="2">
        <v>11</v>
      </c>
      <c r="Q13" s="2">
        <v>12</v>
      </c>
      <c r="R13" s="2">
        <v>13</v>
      </c>
      <c r="S13" s="2">
        <v>14</v>
      </c>
      <c r="T13" s="2">
        <v>15</v>
      </c>
      <c r="U13" s="2">
        <v>16</v>
      </c>
      <c r="V13" s="2">
        <v>17</v>
      </c>
      <c r="W13" s="2">
        <v>18</v>
      </c>
      <c r="X13" s="2">
        <v>19</v>
      </c>
      <c r="Y13" s="2">
        <v>20</v>
      </c>
      <c r="Z13" s="2">
        <v>21</v>
      </c>
      <c r="AA13" s="2">
        <v>22</v>
      </c>
      <c r="AB13" s="2">
        <v>23</v>
      </c>
      <c r="AC13" s="2">
        <v>24</v>
      </c>
      <c r="AD13" s="2">
        <v>25</v>
      </c>
    </row>
    <row r="14" spans="1:30" x14ac:dyDescent="0.2">
      <c r="A14" s="18" t="s">
        <v>108</v>
      </c>
      <c r="B14" s="19" t="s">
        <v>18</v>
      </c>
      <c r="C14" s="18" t="s">
        <v>109</v>
      </c>
      <c r="D14" s="18" t="s">
        <v>6</v>
      </c>
      <c r="E14" s="19" t="s">
        <v>110</v>
      </c>
      <c r="F14" s="19">
        <v>1</v>
      </c>
      <c r="G14" s="19">
        <f t="shared" ref="G14:AD14" si="3">IF($B$9&gt;F14,F14+1,"")</f>
        <v>2</v>
      </c>
      <c r="H14" s="19">
        <f t="shared" si="3"/>
        <v>3</v>
      </c>
      <c r="I14" s="19">
        <f t="shared" si="3"/>
        <v>4</v>
      </c>
      <c r="J14" s="19">
        <f t="shared" si="3"/>
        <v>5</v>
      </c>
      <c r="K14" s="19" t="str">
        <f t="shared" si="3"/>
        <v/>
      </c>
      <c r="L14" s="19" t="str">
        <f t="shared" si="3"/>
        <v/>
      </c>
      <c r="M14" s="19" t="str">
        <f t="shared" si="3"/>
        <v/>
      </c>
      <c r="N14" s="19" t="str">
        <f t="shared" si="3"/>
        <v/>
      </c>
      <c r="O14" s="19" t="str">
        <f t="shared" si="3"/>
        <v/>
      </c>
      <c r="P14" s="19" t="str">
        <f t="shared" si="3"/>
        <v/>
      </c>
      <c r="Q14" s="19" t="str">
        <f t="shared" si="3"/>
        <v/>
      </c>
      <c r="R14" s="19" t="str">
        <f t="shared" si="3"/>
        <v/>
      </c>
      <c r="S14" s="19" t="str">
        <f t="shared" si="3"/>
        <v/>
      </c>
      <c r="T14" s="19" t="str">
        <f t="shared" si="3"/>
        <v/>
      </c>
      <c r="U14" s="19" t="str">
        <f t="shared" si="3"/>
        <v/>
      </c>
      <c r="V14" s="19" t="str">
        <f t="shared" si="3"/>
        <v/>
      </c>
      <c r="W14" s="19" t="str">
        <f t="shared" si="3"/>
        <v/>
      </c>
      <c r="X14" s="19" t="str">
        <f t="shared" si="3"/>
        <v/>
      </c>
      <c r="Y14" s="19" t="str">
        <f t="shared" si="3"/>
        <v/>
      </c>
      <c r="Z14" s="19" t="str">
        <f t="shared" si="3"/>
        <v/>
      </c>
      <c r="AA14" s="19" t="str">
        <f t="shared" si="3"/>
        <v/>
      </c>
      <c r="AB14" s="19" t="str">
        <f t="shared" si="3"/>
        <v/>
      </c>
      <c r="AC14" s="19" t="str">
        <f t="shared" si="3"/>
        <v/>
      </c>
      <c r="AD14" s="19" t="str">
        <f t="shared" si="3"/>
        <v/>
      </c>
    </row>
    <row r="15" spans="1:30" x14ac:dyDescent="0.2">
      <c r="A15" t="s">
        <v>111</v>
      </c>
      <c r="B15" s="2">
        <v>1</v>
      </c>
      <c r="C15" t="s">
        <v>112</v>
      </c>
      <c r="D15" t="s">
        <v>24</v>
      </c>
      <c r="E15" s="2">
        <v>3</v>
      </c>
      <c r="F15" s="2">
        <v>1</v>
      </c>
      <c r="G15" s="2">
        <v>0</v>
      </c>
    </row>
    <row r="16" spans="1:30" x14ac:dyDescent="0.2">
      <c r="A16" t="s">
        <v>113</v>
      </c>
      <c r="B16" s="2">
        <v>1</v>
      </c>
      <c r="C16" t="s">
        <v>114</v>
      </c>
      <c r="D16" t="s">
        <v>24</v>
      </c>
      <c r="E16" s="2">
        <v>2</v>
      </c>
      <c r="F16" s="2">
        <v>2</v>
      </c>
      <c r="G16" s="2">
        <v>0</v>
      </c>
      <c r="AC16" s="2" t="str">
        <f t="shared" ref="AC16:AD35" si="4">IF(OR(AC$14="",$E16=""),"",AB16)</f>
        <v/>
      </c>
      <c r="AD16" s="2" t="str">
        <f t="shared" si="4"/>
        <v/>
      </c>
    </row>
    <row r="17" spans="1:30" x14ac:dyDescent="0.2">
      <c r="A17" t="s">
        <v>115</v>
      </c>
      <c r="B17" s="2">
        <v>1</v>
      </c>
      <c r="C17" t="s">
        <v>114</v>
      </c>
      <c r="D17" t="s">
        <v>24</v>
      </c>
      <c r="E17" s="2">
        <v>6</v>
      </c>
      <c r="F17" s="2">
        <v>2</v>
      </c>
      <c r="G17" s="2">
        <v>0</v>
      </c>
      <c r="AC17" s="2" t="str">
        <f t="shared" si="4"/>
        <v/>
      </c>
      <c r="AD17" s="2" t="str">
        <f t="shared" si="4"/>
        <v/>
      </c>
    </row>
    <row r="18" spans="1:30" x14ac:dyDescent="0.2">
      <c r="A18" t="s">
        <v>116</v>
      </c>
      <c r="B18" s="2">
        <v>1</v>
      </c>
      <c r="C18" t="s">
        <v>117</v>
      </c>
      <c r="D18" t="s">
        <v>24</v>
      </c>
      <c r="E18" s="2">
        <v>3</v>
      </c>
      <c r="F18" s="2">
        <v>1</v>
      </c>
      <c r="G18" s="2">
        <v>0</v>
      </c>
      <c r="AC18" s="2" t="str">
        <f t="shared" si="4"/>
        <v/>
      </c>
      <c r="AD18" s="2" t="str">
        <f t="shared" si="4"/>
        <v/>
      </c>
    </row>
    <row r="19" spans="1:30" x14ac:dyDescent="0.2">
      <c r="D19" t="str">
        <f t="shared" ref="D19:D59" si="5">IF(A19&lt;&gt;"","Planned","")</f>
        <v/>
      </c>
      <c r="F19" s="2" t="str">
        <f t="shared" ref="F19:F59" si="6">IF(OR(F$14="",$E19=""),"",E19)</f>
        <v/>
      </c>
      <c r="AC19" s="2" t="str">
        <f t="shared" si="4"/>
        <v/>
      </c>
      <c r="AD19" s="2" t="str">
        <f t="shared" si="4"/>
        <v/>
      </c>
    </row>
    <row r="20" spans="1:30" x14ac:dyDescent="0.2">
      <c r="D20" t="str">
        <f t="shared" si="5"/>
        <v/>
      </c>
      <c r="F20" s="2" t="str">
        <f t="shared" si="6"/>
        <v/>
      </c>
      <c r="AC20" s="2" t="str">
        <f t="shared" si="4"/>
        <v/>
      </c>
      <c r="AD20" s="2" t="str">
        <f t="shared" si="4"/>
        <v/>
      </c>
    </row>
    <row r="21" spans="1:30" x14ac:dyDescent="0.2">
      <c r="D21" t="str">
        <f t="shared" si="5"/>
        <v/>
      </c>
      <c r="F21" s="2" t="str">
        <f t="shared" si="6"/>
        <v/>
      </c>
      <c r="AC21" s="2" t="str">
        <f t="shared" si="4"/>
        <v/>
      </c>
      <c r="AD21" s="2" t="str">
        <f t="shared" si="4"/>
        <v/>
      </c>
    </row>
    <row r="22" spans="1:30" x14ac:dyDescent="0.2">
      <c r="D22" t="str">
        <f t="shared" si="5"/>
        <v/>
      </c>
      <c r="F22" s="2" t="str">
        <f t="shared" si="6"/>
        <v/>
      </c>
      <c r="AC22" s="2" t="str">
        <f t="shared" si="4"/>
        <v/>
      </c>
      <c r="AD22" s="2" t="str">
        <f t="shared" si="4"/>
        <v/>
      </c>
    </row>
    <row r="23" spans="1:30" x14ac:dyDescent="0.2">
      <c r="D23" t="str">
        <f t="shared" si="5"/>
        <v/>
      </c>
      <c r="F23" s="2" t="str">
        <f t="shared" si="6"/>
        <v/>
      </c>
      <c r="AC23" s="2" t="str">
        <f t="shared" si="4"/>
        <v/>
      </c>
      <c r="AD23" s="2" t="str">
        <f t="shared" si="4"/>
        <v/>
      </c>
    </row>
    <row r="24" spans="1:30" x14ac:dyDescent="0.2">
      <c r="D24" t="str">
        <f t="shared" si="5"/>
        <v/>
      </c>
      <c r="F24" s="2" t="str">
        <f t="shared" si="6"/>
        <v/>
      </c>
      <c r="AC24" s="2" t="str">
        <f t="shared" si="4"/>
        <v/>
      </c>
      <c r="AD24" s="2" t="str">
        <f t="shared" si="4"/>
        <v/>
      </c>
    </row>
    <row r="25" spans="1:30" x14ac:dyDescent="0.2">
      <c r="D25" t="str">
        <f t="shared" si="5"/>
        <v/>
      </c>
      <c r="F25" s="2" t="str">
        <f t="shared" si="6"/>
        <v/>
      </c>
      <c r="AC25" s="2" t="str">
        <f t="shared" si="4"/>
        <v/>
      </c>
      <c r="AD25" s="2" t="str">
        <f t="shared" si="4"/>
        <v/>
      </c>
    </row>
    <row r="26" spans="1:30" x14ac:dyDescent="0.2">
      <c r="D26" t="str">
        <f t="shared" si="5"/>
        <v/>
      </c>
      <c r="F26" s="2" t="str">
        <f t="shared" si="6"/>
        <v/>
      </c>
      <c r="AC26" s="2" t="str">
        <f t="shared" si="4"/>
        <v/>
      </c>
      <c r="AD26" s="2" t="str">
        <f t="shared" si="4"/>
        <v/>
      </c>
    </row>
    <row r="27" spans="1:30" x14ac:dyDescent="0.2">
      <c r="D27" t="str">
        <f t="shared" si="5"/>
        <v/>
      </c>
      <c r="F27" s="2" t="str">
        <f t="shared" si="6"/>
        <v/>
      </c>
      <c r="AC27" s="2" t="str">
        <f t="shared" si="4"/>
        <v/>
      </c>
      <c r="AD27" s="2" t="str">
        <f t="shared" si="4"/>
        <v/>
      </c>
    </row>
    <row r="28" spans="1:30" x14ac:dyDescent="0.2">
      <c r="D28" t="str">
        <f t="shared" si="5"/>
        <v/>
      </c>
      <c r="F28" s="2" t="str">
        <f t="shared" si="6"/>
        <v/>
      </c>
      <c r="AC28" s="2" t="str">
        <f t="shared" si="4"/>
        <v/>
      </c>
      <c r="AD28" s="2" t="str">
        <f t="shared" si="4"/>
        <v/>
      </c>
    </row>
    <row r="29" spans="1:30" x14ac:dyDescent="0.2">
      <c r="D29" t="str">
        <f t="shared" si="5"/>
        <v/>
      </c>
      <c r="F29" s="2" t="str">
        <f t="shared" si="6"/>
        <v/>
      </c>
      <c r="AC29" s="2" t="str">
        <f t="shared" si="4"/>
        <v/>
      </c>
      <c r="AD29" s="2" t="str">
        <f t="shared" si="4"/>
        <v/>
      </c>
    </row>
    <row r="30" spans="1:30" x14ac:dyDescent="0.2">
      <c r="D30" t="str">
        <f t="shared" si="5"/>
        <v/>
      </c>
      <c r="F30" s="2" t="str">
        <f t="shared" si="6"/>
        <v/>
      </c>
      <c r="AC30" s="2" t="str">
        <f t="shared" si="4"/>
        <v/>
      </c>
      <c r="AD30" s="2" t="str">
        <f t="shared" si="4"/>
        <v/>
      </c>
    </row>
    <row r="31" spans="1:30" x14ac:dyDescent="0.2">
      <c r="D31" t="str">
        <f t="shared" si="5"/>
        <v/>
      </c>
      <c r="F31" s="2" t="str">
        <f t="shared" si="6"/>
        <v/>
      </c>
      <c r="AC31" s="2" t="str">
        <f t="shared" si="4"/>
        <v/>
      </c>
      <c r="AD31" s="2" t="str">
        <f t="shared" si="4"/>
        <v/>
      </c>
    </row>
    <row r="32" spans="1:30" x14ac:dyDescent="0.2">
      <c r="D32" t="str">
        <f t="shared" si="5"/>
        <v/>
      </c>
      <c r="F32" s="2" t="str">
        <f t="shared" si="6"/>
        <v/>
      </c>
      <c r="AC32" s="2" t="str">
        <f t="shared" si="4"/>
        <v/>
      </c>
      <c r="AD32" s="2" t="str">
        <f t="shared" si="4"/>
        <v/>
      </c>
    </row>
    <row r="33" spans="4:30" x14ac:dyDescent="0.2">
      <c r="D33" t="str">
        <f t="shared" si="5"/>
        <v/>
      </c>
      <c r="F33" s="2" t="str">
        <f t="shared" si="6"/>
        <v/>
      </c>
      <c r="AC33" s="2" t="str">
        <f t="shared" si="4"/>
        <v/>
      </c>
      <c r="AD33" s="2" t="str">
        <f t="shared" si="4"/>
        <v/>
      </c>
    </row>
    <row r="34" spans="4:30" x14ac:dyDescent="0.2">
      <c r="D34" t="str">
        <f t="shared" si="5"/>
        <v/>
      </c>
      <c r="F34" s="2" t="str">
        <f t="shared" si="6"/>
        <v/>
      </c>
      <c r="AC34" s="2" t="str">
        <f t="shared" si="4"/>
        <v/>
      </c>
      <c r="AD34" s="2" t="str">
        <f t="shared" si="4"/>
        <v/>
      </c>
    </row>
    <row r="35" spans="4:30" x14ac:dyDescent="0.2">
      <c r="D35" t="str">
        <f t="shared" si="5"/>
        <v/>
      </c>
      <c r="F35" s="2" t="str">
        <f t="shared" si="6"/>
        <v/>
      </c>
      <c r="AC35" s="2" t="str">
        <f t="shared" si="4"/>
        <v/>
      </c>
      <c r="AD35" s="2" t="str">
        <f t="shared" si="4"/>
        <v/>
      </c>
    </row>
    <row r="36" spans="4:30" x14ac:dyDescent="0.2">
      <c r="D36" t="str">
        <f t="shared" si="5"/>
        <v/>
      </c>
      <c r="F36" s="2" t="str">
        <f t="shared" si="6"/>
        <v/>
      </c>
      <c r="AC36" s="2" t="str">
        <f t="shared" ref="AC36:AD55" si="7">IF(OR(AC$14="",$E36=""),"",AB36)</f>
        <v/>
      </c>
      <c r="AD36" s="2" t="str">
        <f t="shared" si="7"/>
        <v/>
      </c>
    </row>
    <row r="37" spans="4:30" x14ac:dyDescent="0.2">
      <c r="D37" t="str">
        <f t="shared" si="5"/>
        <v/>
      </c>
      <c r="F37" s="2" t="str">
        <f t="shared" si="6"/>
        <v/>
      </c>
      <c r="AC37" s="2" t="str">
        <f t="shared" si="7"/>
        <v/>
      </c>
      <c r="AD37" s="2" t="str">
        <f t="shared" si="7"/>
        <v/>
      </c>
    </row>
    <row r="38" spans="4:30" x14ac:dyDescent="0.2">
      <c r="D38" t="str">
        <f t="shared" si="5"/>
        <v/>
      </c>
      <c r="F38" s="2" t="str">
        <f t="shared" si="6"/>
        <v/>
      </c>
      <c r="AC38" s="2" t="str">
        <f t="shared" si="7"/>
        <v/>
      </c>
      <c r="AD38" s="2" t="str">
        <f t="shared" si="7"/>
        <v/>
      </c>
    </row>
    <row r="39" spans="4:30" x14ac:dyDescent="0.2">
      <c r="D39" t="str">
        <f t="shared" si="5"/>
        <v/>
      </c>
      <c r="F39" s="2" t="str">
        <f t="shared" si="6"/>
        <v/>
      </c>
      <c r="AC39" s="2" t="str">
        <f t="shared" si="7"/>
        <v/>
      </c>
      <c r="AD39" s="2" t="str">
        <f t="shared" si="7"/>
        <v/>
      </c>
    </row>
    <row r="40" spans="4:30" x14ac:dyDescent="0.2">
      <c r="D40" t="str">
        <f t="shared" si="5"/>
        <v/>
      </c>
      <c r="F40" s="2" t="str">
        <f t="shared" si="6"/>
        <v/>
      </c>
      <c r="AC40" s="2" t="str">
        <f t="shared" si="7"/>
        <v/>
      </c>
      <c r="AD40" s="2" t="str">
        <f t="shared" si="7"/>
        <v/>
      </c>
    </row>
    <row r="41" spans="4:30" x14ac:dyDescent="0.2">
      <c r="D41" t="str">
        <f t="shared" si="5"/>
        <v/>
      </c>
      <c r="F41" s="2" t="str">
        <f t="shared" si="6"/>
        <v/>
      </c>
      <c r="AC41" s="2" t="str">
        <f t="shared" si="7"/>
        <v/>
      </c>
      <c r="AD41" s="2" t="str">
        <f t="shared" si="7"/>
        <v/>
      </c>
    </row>
    <row r="42" spans="4:30" x14ac:dyDescent="0.2">
      <c r="D42" t="str">
        <f t="shared" si="5"/>
        <v/>
      </c>
      <c r="F42" s="2" t="str">
        <f t="shared" si="6"/>
        <v/>
      </c>
      <c r="AC42" s="2" t="str">
        <f t="shared" si="7"/>
        <v/>
      </c>
      <c r="AD42" s="2" t="str">
        <f t="shared" si="7"/>
        <v/>
      </c>
    </row>
    <row r="43" spans="4:30" x14ac:dyDescent="0.2">
      <c r="D43" t="str">
        <f t="shared" si="5"/>
        <v/>
      </c>
      <c r="F43" s="2" t="str">
        <f t="shared" si="6"/>
        <v/>
      </c>
      <c r="AC43" s="2" t="str">
        <f t="shared" si="7"/>
        <v/>
      </c>
      <c r="AD43" s="2" t="str">
        <f t="shared" si="7"/>
        <v/>
      </c>
    </row>
    <row r="44" spans="4:30" x14ac:dyDescent="0.2">
      <c r="D44" t="str">
        <f t="shared" si="5"/>
        <v/>
      </c>
      <c r="F44" s="2" t="str">
        <f t="shared" si="6"/>
        <v/>
      </c>
      <c r="AC44" s="2" t="str">
        <f t="shared" si="7"/>
        <v/>
      </c>
      <c r="AD44" s="2" t="str">
        <f t="shared" si="7"/>
        <v/>
      </c>
    </row>
    <row r="45" spans="4:30" x14ac:dyDescent="0.2">
      <c r="D45" t="str">
        <f t="shared" si="5"/>
        <v/>
      </c>
      <c r="F45" s="2" t="str">
        <f t="shared" si="6"/>
        <v/>
      </c>
      <c r="AC45" s="2" t="str">
        <f t="shared" si="7"/>
        <v/>
      </c>
      <c r="AD45" s="2" t="str">
        <f t="shared" si="7"/>
        <v/>
      </c>
    </row>
    <row r="46" spans="4:30" x14ac:dyDescent="0.2">
      <c r="D46" t="str">
        <f t="shared" si="5"/>
        <v/>
      </c>
      <c r="F46" s="2" t="str">
        <f t="shared" si="6"/>
        <v/>
      </c>
      <c r="AC46" s="2" t="str">
        <f t="shared" si="7"/>
        <v/>
      </c>
      <c r="AD46" s="2" t="str">
        <f t="shared" si="7"/>
        <v/>
      </c>
    </row>
    <row r="47" spans="4:30" x14ac:dyDescent="0.2">
      <c r="D47" t="str">
        <f t="shared" si="5"/>
        <v/>
      </c>
      <c r="F47" s="2" t="str">
        <f t="shared" si="6"/>
        <v/>
      </c>
      <c r="AC47" s="2" t="str">
        <f t="shared" si="7"/>
        <v/>
      </c>
      <c r="AD47" s="2" t="str">
        <f t="shared" si="7"/>
        <v/>
      </c>
    </row>
    <row r="48" spans="4:30" x14ac:dyDescent="0.2">
      <c r="D48" t="str">
        <f t="shared" si="5"/>
        <v/>
      </c>
      <c r="F48" s="2" t="str">
        <f t="shared" si="6"/>
        <v/>
      </c>
      <c r="AC48" s="2" t="str">
        <f t="shared" si="7"/>
        <v/>
      </c>
      <c r="AD48" s="2" t="str">
        <f t="shared" si="7"/>
        <v/>
      </c>
    </row>
    <row r="49" spans="4:30" x14ac:dyDescent="0.2">
      <c r="D49" t="str">
        <f t="shared" si="5"/>
        <v/>
      </c>
      <c r="F49" s="2" t="str">
        <f t="shared" si="6"/>
        <v/>
      </c>
      <c r="AC49" s="2" t="str">
        <f t="shared" si="7"/>
        <v/>
      </c>
      <c r="AD49" s="2" t="str">
        <f t="shared" si="7"/>
        <v/>
      </c>
    </row>
    <row r="50" spans="4:30" x14ac:dyDescent="0.2">
      <c r="D50" t="str">
        <f t="shared" si="5"/>
        <v/>
      </c>
      <c r="F50" s="2" t="str">
        <f t="shared" si="6"/>
        <v/>
      </c>
      <c r="AC50" s="2" t="str">
        <f t="shared" si="7"/>
        <v/>
      </c>
      <c r="AD50" s="2" t="str">
        <f t="shared" si="7"/>
        <v/>
      </c>
    </row>
    <row r="51" spans="4:30" x14ac:dyDescent="0.2">
      <c r="D51" t="str">
        <f t="shared" si="5"/>
        <v/>
      </c>
      <c r="F51" s="2" t="str">
        <f t="shared" si="6"/>
        <v/>
      </c>
      <c r="AC51" s="2" t="str">
        <f t="shared" si="7"/>
        <v/>
      </c>
      <c r="AD51" s="2" t="str">
        <f t="shared" si="7"/>
        <v/>
      </c>
    </row>
    <row r="52" spans="4:30" x14ac:dyDescent="0.2">
      <c r="D52" t="str">
        <f t="shared" si="5"/>
        <v/>
      </c>
      <c r="F52" s="2" t="str">
        <f t="shared" si="6"/>
        <v/>
      </c>
      <c r="AC52" s="2" t="str">
        <f t="shared" si="7"/>
        <v/>
      </c>
      <c r="AD52" s="2" t="str">
        <f t="shared" si="7"/>
        <v/>
      </c>
    </row>
    <row r="53" spans="4:30" x14ac:dyDescent="0.2">
      <c r="D53" t="str">
        <f t="shared" si="5"/>
        <v/>
      </c>
      <c r="F53" s="2" t="str">
        <f t="shared" si="6"/>
        <v/>
      </c>
      <c r="AC53" s="2" t="str">
        <f t="shared" si="7"/>
        <v/>
      </c>
      <c r="AD53" s="2" t="str">
        <f t="shared" si="7"/>
        <v/>
      </c>
    </row>
    <row r="54" spans="4:30" x14ac:dyDescent="0.2">
      <c r="D54" t="str">
        <f t="shared" si="5"/>
        <v/>
      </c>
      <c r="F54" s="2" t="str">
        <f t="shared" si="6"/>
        <v/>
      </c>
      <c r="AC54" s="2" t="str">
        <f t="shared" si="7"/>
        <v/>
      </c>
      <c r="AD54" s="2" t="str">
        <f t="shared" si="7"/>
        <v/>
      </c>
    </row>
    <row r="55" spans="4:30" x14ac:dyDescent="0.2">
      <c r="D55" t="str">
        <f t="shared" si="5"/>
        <v/>
      </c>
      <c r="F55" s="2" t="str">
        <f t="shared" si="6"/>
        <v/>
      </c>
      <c r="AC55" s="2" t="str">
        <f t="shared" si="7"/>
        <v/>
      </c>
      <c r="AD55" s="2" t="str">
        <f t="shared" si="7"/>
        <v/>
      </c>
    </row>
    <row r="56" spans="4:30" x14ac:dyDescent="0.2">
      <c r="D56" t="str">
        <f t="shared" si="5"/>
        <v/>
      </c>
      <c r="F56" s="2" t="str">
        <f t="shared" si="6"/>
        <v/>
      </c>
      <c r="AC56" s="2" t="str">
        <f t="shared" ref="AC56:AD59" si="8">IF(OR(AC$14="",$E56=""),"",AB56)</f>
        <v/>
      </c>
      <c r="AD56" s="2" t="str">
        <f t="shared" si="8"/>
        <v/>
      </c>
    </row>
    <row r="57" spans="4:30" x14ac:dyDescent="0.2">
      <c r="D57" t="str">
        <f t="shared" si="5"/>
        <v/>
      </c>
      <c r="F57" s="2" t="str">
        <f t="shared" si="6"/>
        <v/>
      </c>
      <c r="AC57" s="2" t="str">
        <f t="shared" si="8"/>
        <v/>
      </c>
      <c r="AD57" s="2" t="str">
        <f t="shared" si="8"/>
        <v/>
      </c>
    </row>
    <row r="58" spans="4:30" x14ac:dyDescent="0.2">
      <c r="D58" t="str">
        <f t="shared" si="5"/>
        <v/>
      </c>
      <c r="F58" s="2" t="str">
        <f t="shared" si="6"/>
        <v/>
      </c>
      <c r="G58" s="2" t="str">
        <f t="shared" ref="G58:U58" si="9">IF(OR(G$14="",$E58=""),"",F58)</f>
        <v/>
      </c>
      <c r="H58" s="2" t="str">
        <f t="shared" si="9"/>
        <v/>
      </c>
      <c r="I58" s="2" t="str">
        <f t="shared" si="9"/>
        <v/>
      </c>
      <c r="J58" s="2" t="str">
        <f t="shared" si="9"/>
        <v/>
      </c>
      <c r="K58" s="2" t="str">
        <f t="shared" si="9"/>
        <v/>
      </c>
      <c r="L58" s="2" t="str">
        <f t="shared" si="9"/>
        <v/>
      </c>
      <c r="M58" s="2" t="str">
        <f t="shared" si="9"/>
        <v/>
      </c>
      <c r="N58" s="2" t="str">
        <f t="shared" si="9"/>
        <v/>
      </c>
      <c r="O58" s="2" t="str">
        <f t="shared" si="9"/>
        <v/>
      </c>
      <c r="P58" s="2" t="str">
        <f t="shared" si="9"/>
        <v/>
      </c>
      <c r="Q58" s="2" t="str">
        <f t="shared" si="9"/>
        <v/>
      </c>
      <c r="R58" s="2" t="str">
        <f t="shared" si="9"/>
        <v/>
      </c>
      <c r="S58" s="2" t="str">
        <f t="shared" si="9"/>
        <v/>
      </c>
      <c r="T58" s="2" t="str">
        <f t="shared" si="9"/>
        <v/>
      </c>
      <c r="U58" s="2" t="str">
        <f t="shared" si="9"/>
        <v/>
      </c>
      <c r="V58" s="2" t="str">
        <f t="shared" ref="V58:AB59" si="10">IF(OR(V$14="",$E58=""),"",U58)</f>
        <v/>
      </c>
      <c r="W58" s="2" t="str">
        <f t="shared" si="10"/>
        <v/>
      </c>
      <c r="X58" s="2" t="str">
        <f t="shared" si="10"/>
        <v/>
      </c>
      <c r="Y58" s="2" t="str">
        <f t="shared" si="10"/>
        <v/>
      </c>
      <c r="Z58" s="2" t="str">
        <f t="shared" si="10"/>
        <v/>
      </c>
      <c r="AA58" s="2" t="str">
        <f t="shared" si="10"/>
        <v/>
      </c>
      <c r="AB58" s="2" t="str">
        <f t="shared" si="10"/>
        <v/>
      </c>
      <c r="AC58" s="2" t="str">
        <f t="shared" si="8"/>
        <v/>
      </c>
      <c r="AD58" s="2" t="str">
        <f t="shared" si="8"/>
        <v/>
      </c>
    </row>
    <row r="59" spans="4:30" x14ac:dyDescent="0.2">
      <c r="D59" t="str">
        <f t="shared" si="5"/>
        <v/>
      </c>
      <c r="F59" s="2" t="str">
        <f t="shared" si="6"/>
        <v/>
      </c>
      <c r="G59" s="2" t="str">
        <f t="shared" ref="G59:U59" si="11">IF(OR(G$14="",$E59=""),"",F59)</f>
        <v/>
      </c>
      <c r="H59" s="2" t="str">
        <f t="shared" si="11"/>
        <v/>
      </c>
      <c r="I59" s="2" t="str">
        <f t="shared" si="11"/>
        <v/>
      </c>
      <c r="J59" s="2" t="str">
        <f t="shared" si="11"/>
        <v/>
      </c>
      <c r="K59" s="2" t="str">
        <f t="shared" si="11"/>
        <v/>
      </c>
      <c r="L59" s="2" t="str">
        <f t="shared" si="11"/>
        <v/>
      </c>
      <c r="M59" s="2" t="str">
        <f t="shared" si="11"/>
        <v/>
      </c>
      <c r="N59" s="2" t="str">
        <f t="shared" si="11"/>
        <v/>
      </c>
      <c r="O59" s="2" t="str">
        <f t="shared" si="11"/>
        <v/>
      </c>
      <c r="P59" s="2" t="str">
        <f t="shared" si="11"/>
        <v/>
      </c>
      <c r="Q59" s="2" t="str">
        <f t="shared" si="11"/>
        <v/>
      </c>
      <c r="R59" s="2" t="str">
        <f t="shared" si="11"/>
        <v/>
      </c>
      <c r="S59" s="2" t="str">
        <f t="shared" si="11"/>
        <v/>
      </c>
      <c r="T59" s="2" t="str">
        <f t="shared" si="11"/>
        <v/>
      </c>
      <c r="U59" s="2" t="str">
        <f t="shared" si="11"/>
        <v/>
      </c>
      <c r="V59" s="2" t="str">
        <f t="shared" si="10"/>
        <v/>
      </c>
      <c r="W59" s="2" t="str">
        <f t="shared" si="10"/>
        <v/>
      </c>
      <c r="X59" s="2" t="str">
        <f t="shared" si="10"/>
        <v/>
      </c>
      <c r="Y59" s="2" t="str">
        <f t="shared" si="10"/>
        <v/>
      </c>
      <c r="Z59" s="2" t="str">
        <f t="shared" si="10"/>
        <v/>
      </c>
      <c r="AA59" s="2" t="str">
        <f t="shared" si="10"/>
        <v/>
      </c>
      <c r="AB59" s="2" t="str">
        <f t="shared" si="10"/>
        <v/>
      </c>
      <c r="AC59" s="2" t="str">
        <f t="shared" si="8"/>
        <v/>
      </c>
      <c r="AD59" s="2" t="str">
        <f t="shared" si="8"/>
        <v/>
      </c>
    </row>
    <row r="64" spans="4:30" x14ac:dyDescent="0.2">
      <c r="D64" t="str">
        <f>IF(A64&lt;&gt;"","Planned","")</f>
        <v/>
      </c>
    </row>
  </sheetData>
  <conditionalFormatting sqref="A19:AD58 J15:AD18">
    <cfRule type="expression" dxfId="21" priority="1" stopIfTrue="1">
      <formula>$D15="Done"</formula>
    </cfRule>
    <cfRule type="expression" dxfId="20" priority="2" stopIfTrue="1">
      <formula>$D15="Ongoing"</formula>
    </cfRule>
  </conditionalFormatting>
  <conditionalFormatting sqref="A15:I18">
    <cfRule type="expression" dxfId="19" priority="3" stopIfTrue="1">
      <formula>$D15="Done"</formula>
    </cfRule>
    <cfRule type="expression" dxfId="18" priority="4" stopIfTrue="1">
      <formula>$D15="Ongoing"</formula>
    </cfRule>
  </conditionalFormatting>
  <dataValidations count="1">
    <dataValidation type="list" allowBlank="1" showInputMessage="1" sqref="D15:D64 D3:D8">
      <formula1>"Planned,Ongoing,Done"</formula1>
    </dataValidation>
  </dataValidations>
  <pageMargins left="0.78740157499999996" right="0.78740157499999996" top="0.984251969" bottom="0.984251969" header="0.5" footer="0.5"/>
  <pageSetup paperSize="9" orientation="portrait" r:id="rId1"/>
  <headerFooter alignWithMargins="0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AD92"/>
  <sheetViews>
    <sheetView zoomScale="120" zoomScaleNormal="120" workbookViewId="0">
      <pane ySplit="14" topLeftCell="A15" activePane="bottomLeft" state="frozen"/>
      <selection pane="bottomLeft" activeCell="B26" sqref="B26"/>
    </sheetView>
  </sheetViews>
  <sheetFormatPr baseColWidth="10" defaultColWidth="9.140625" defaultRowHeight="12.75" x14ac:dyDescent="0.2"/>
  <cols>
    <col min="1" max="1" width="43.42578125" style="35" customWidth="1"/>
    <col min="2" max="2" width="8.5703125" style="34" customWidth="1"/>
    <col min="3" max="3" width="13.7109375" style="35" customWidth="1"/>
    <col min="4" max="4" width="10.85546875" style="35" customWidth="1"/>
    <col min="5" max="5" width="6.5703125" style="34" customWidth="1"/>
    <col min="6" max="30" width="4.42578125" style="34" customWidth="1"/>
    <col min="31" max="256" width="11.42578125" style="35" customWidth="1"/>
    <col min="257" max="16384" width="9.140625" style="35"/>
  </cols>
  <sheetData>
    <row r="1" spans="1:30" ht="18" x14ac:dyDescent="0.2">
      <c r="A1" s="66">
        <v>1</v>
      </c>
      <c r="B1" s="67"/>
      <c r="E1" s="35"/>
      <c r="F1" s="35"/>
      <c r="G1" s="35"/>
      <c r="H1" s="35"/>
      <c r="I1" s="35"/>
      <c r="J1" s="35"/>
      <c r="K1" s="35"/>
      <c r="L1" s="35"/>
      <c r="M1" s="35"/>
      <c r="N1" s="35"/>
      <c r="O1" s="35"/>
      <c r="P1" s="35"/>
      <c r="Q1" s="35"/>
      <c r="R1" s="35"/>
      <c r="S1" s="35"/>
      <c r="T1" s="35"/>
      <c r="U1" s="35"/>
      <c r="V1" s="35"/>
      <c r="W1" s="35"/>
      <c r="X1" s="35"/>
      <c r="Y1" s="35"/>
      <c r="Z1" s="35"/>
      <c r="AA1" s="35"/>
      <c r="AB1" s="35"/>
      <c r="AC1" s="35"/>
      <c r="AD1" s="35"/>
    </row>
    <row r="2" spans="1:30" x14ac:dyDescent="0.2">
      <c r="E2" s="35"/>
      <c r="F2" s="35"/>
      <c r="G2" s="35"/>
      <c r="H2" s="35"/>
      <c r="I2" s="35"/>
      <c r="J2" s="35"/>
      <c r="K2" s="35"/>
      <c r="L2" s="35"/>
      <c r="M2" s="35"/>
      <c r="N2" s="35"/>
      <c r="O2" s="35"/>
      <c r="P2" s="35"/>
      <c r="Q2" s="35"/>
      <c r="R2" s="35"/>
      <c r="S2" s="35"/>
      <c r="T2" s="35"/>
      <c r="U2" s="35"/>
      <c r="V2" s="35"/>
      <c r="W2" s="35"/>
      <c r="X2" s="35"/>
      <c r="Y2" s="35"/>
      <c r="Z2" s="35"/>
      <c r="AA2" s="35"/>
      <c r="AB2" s="35"/>
      <c r="AC2" s="35"/>
      <c r="AD2" s="35"/>
    </row>
    <row r="9" spans="1:30" x14ac:dyDescent="0.2">
      <c r="A9" s="68" t="s">
        <v>98</v>
      </c>
      <c r="B9" s="69">
        <v>5</v>
      </c>
      <c r="C9" s="68"/>
      <c r="D9" s="70"/>
      <c r="E9" s="68" t="s">
        <v>99</v>
      </c>
      <c r="F9" s="68" t="s">
        <v>100</v>
      </c>
      <c r="G9" s="68"/>
      <c r="H9" s="68"/>
      <c r="I9" s="68"/>
      <c r="J9" s="68"/>
      <c r="K9" s="68"/>
      <c r="L9" s="68"/>
      <c r="M9" s="70"/>
      <c r="N9" s="70"/>
      <c r="O9" s="70"/>
      <c r="P9" s="70"/>
      <c r="Q9" s="70"/>
      <c r="R9" s="70"/>
      <c r="S9" s="70"/>
      <c r="T9" s="70"/>
      <c r="U9" s="70"/>
      <c r="V9" s="70"/>
      <c r="W9" s="70"/>
      <c r="X9" s="70"/>
      <c r="Y9" s="70"/>
      <c r="Z9" s="70"/>
      <c r="AA9" s="70"/>
      <c r="AB9" s="70"/>
      <c r="AC9" s="70"/>
      <c r="AD9" s="70"/>
    </row>
    <row r="10" spans="1:30" x14ac:dyDescent="0.2">
      <c r="A10" s="68" t="s">
        <v>101</v>
      </c>
      <c r="B10" s="69">
        <v>5</v>
      </c>
      <c r="C10" s="68" t="s">
        <v>3</v>
      </c>
      <c r="D10" s="68" t="s">
        <v>102</v>
      </c>
      <c r="E10" s="71">
        <f ca="1">SUM(OFFSET(E14,1,0,TaskRows,1))</f>
        <v>49</v>
      </c>
      <c r="F10" s="71">
        <f ca="1">IF(AND(SUM(OFFSET(F14,1,0,TaskRows,1))=0),0,SUM(OFFSET(F14,1,0,TaskRows,1)))</f>
        <v>41</v>
      </c>
      <c r="G10" s="71">
        <f t="shared" ref="G10:AD10" ca="1" si="0">IF(AND(SUM(OFFSET(G14,1,0,TaskRows,1))=0),"",SUM(OFFSET(G14,1,0,TaskRows,1)))</f>
        <v>35</v>
      </c>
      <c r="H10" s="71">
        <f t="shared" ca="1" si="0"/>
        <v>27.5</v>
      </c>
      <c r="I10" s="71">
        <f t="shared" ca="1" si="0"/>
        <v>21</v>
      </c>
      <c r="J10" s="71">
        <f t="shared" ca="1" si="0"/>
        <v>16.5</v>
      </c>
      <c r="K10" s="71" t="str">
        <f t="shared" ca="1" si="0"/>
        <v/>
      </c>
      <c r="L10" s="71" t="str">
        <f t="shared" ca="1" si="0"/>
        <v/>
      </c>
      <c r="M10" s="71" t="str">
        <f t="shared" ca="1" si="0"/>
        <v/>
      </c>
      <c r="N10" s="71" t="str">
        <f t="shared" ca="1" si="0"/>
        <v/>
      </c>
      <c r="O10" s="71" t="str">
        <f t="shared" ca="1" si="0"/>
        <v/>
      </c>
      <c r="P10" s="71" t="str">
        <f t="shared" ca="1" si="0"/>
        <v/>
      </c>
      <c r="Q10" s="71" t="str">
        <f t="shared" ca="1" si="0"/>
        <v/>
      </c>
      <c r="R10" s="71" t="str">
        <f t="shared" ca="1" si="0"/>
        <v/>
      </c>
      <c r="S10" s="71" t="str">
        <f t="shared" ca="1" si="0"/>
        <v/>
      </c>
      <c r="T10" s="71" t="str">
        <f t="shared" ca="1" si="0"/>
        <v/>
      </c>
      <c r="U10" s="71" t="str">
        <f t="shared" ca="1" si="0"/>
        <v/>
      </c>
      <c r="V10" s="71" t="str">
        <f t="shared" ca="1" si="0"/>
        <v/>
      </c>
      <c r="W10" s="71" t="str">
        <f t="shared" ca="1" si="0"/>
        <v/>
      </c>
      <c r="X10" s="71" t="str">
        <f t="shared" ca="1" si="0"/>
        <v/>
      </c>
      <c r="Y10" s="71" t="str">
        <f t="shared" ca="1" si="0"/>
        <v/>
      </c>
      <c r="Z10" s="71" t="str">
        <f t="shared" ca="1" si="0"/>
        <v/>
      </c>
      <c r="AA10" s="71" t="str">
        <f t="shared" ca="1" si="0"/>
        <v/>
      </c>
      <c r="AB10" s="71" t="str">
        <f t="shared" ca="1" si="0"/>
        <v/>
      </c>
      <c r="AC10" s="71" t="str">
        <f t="shared" ca="1" si="0"/>
        <v/>
      </c>
      <c r="AD10" s="71" t="str">
        <f t="shared" ca="1" si="0"/>
        <v/>
      </c>
    </row>
    <row r="11" spans="1:30" customFormat="1" hidden="1" x14ac:dyDescent="0.2">
      <c r="A11" t="s">
        <v>103</v>
      </c>
      <c r="B11" s="2">
        <f>IF(COUNTA(A15:A247)=0,1,COUNTA(A15:A247))</f>
        <v>23</v>
      </c>
      <c r="C11" t="s">
        <v>104</v>
      </c>
      <c r="D11" s="2">
        <f ca="1">IF(COUNTIF(F10:AD10,"&gt;0")=0,1,COUNTIF(F10:AD10,"&gt;0"))</f>
        <v>5</v>
      </c>
      <c r="E11" s="2"/>
      <c r="F11" s="2">
        <f ca="1">IF(F14="","",$E10-$E10/($B9-1)*(F14-1))</f>
        <v>49</v>
      </c>
      <c r="G11" s="2">
        <f t="shared" ref="G11:AD11" ca="1" si="1">IF(G14="","",TotalEffort-TotalEffort/(ImplementationDays)*(G14-1))</f>
        <v>39.200000000000003</v>
      </c>
      <c r="H11" s="2">
        <f t="shared" ca="1" si="1"/>
        <v>29.4</v>
      </c>
      <c r="I11" s="2">
        <f t="shared" ca="1" si="1"/>
        <v>19.599999999999998</v>
      </c>
      <c r="J11" s="2">
        <f t="shared" ca="1" si="1"/>
        <v>9.7999999999999972</v>
      </c>
      <c r="K11" s="2" t="str">
        <f t="shared" si="1"/>
        <v/>
      </c>
      <c r="L11" s="2" t="str">
        <f t="shared" si="1"/>
        <v/>
      </c>
      <c r="M11" s="2" t="str">
        <f t="shared" si="1"/>
        <v/>
      </c>
      <c r="N11" s="2" t="str">
        <f t="shared" si="1"/>
        <v/>
      </c>
      <c r="O11" s="2" t="str">
        <f t="shared" si="1"/>
        <v/>
      </c>
      <c r="P11" s="2" t="str">
        <f t="shared" si="1"/>
        <v/>
      </c>
      <c r="Q11" s="2" t="str">
        <f t="shared" si="1"/>
        <v/>
      </c>
      <c r="R11" s="2" t="str">
        <f t="shared" si="1"/>
        <v/>
      </c>
      <c r="S11" s="2" t="str">
        <f t="shared" si="1"/>
        <v/>
      </c>
      <c r="T11" s="2" t="str">
        <f t="shared" si="1"/>
        <v/>
      </c>
      <c r="U11" s="2" t="str">
        <f t="shared" si="1"/>
        <v/>
      </c>
      <c r="V11" s="2" t="str">
        <f t="shared" si="1"/>
        <v/>
      </c>
      <c r="W11" s="2" t="str">
        <f t="shared" si="1"/>
        <v/>
      </c>
      <c r="X11" s="2" t="str">
        <f t="shared" si="1"/>
        <v/>
      </c>
      <c r="Y11" s="2" t="str">
        <f t="shared" si="1"/>
        <v/>
      </c>
      <c r="Z11" s="2" t="str">
        <f t="shared" si="1"/>
        <v/>
      </c>
      <c r="AA11" s="2" t="str">
        <f t="shared" si="1"/>
        <v/>
      </c>
      <c r="AB11" s="2" t="str">
        <f t="shared" si="1"/>
        <v/>
      </c>
      <c r="AC11" s="2" t="str">
        <f t="shared" si="1"/>
        <v/>
      </c>
      <c r="AD11" s="2" t="str">
        <f t="shared" si="1"/>
        <v/>
      </c>
    </row>
    <row r="12" spans="1:30" customFormat="1" hidden="1" x14ac:dyDescent="0.2">
      <c r="A12" s="56" t="s">
        <v>105</v>
      </c>
      <c r="C12" t="s">
        <v>68</v>
      </c>
      <c r="D12" s="2"/>
      <c r="E12" s="2"/>
      <c r="F12" s="2">
        <f t="shared" ref="F12:AD12" ca="1" si="2">IF(TREND(OFFSET($F10,0,DoneDays-TrendDays,1,TrendDays),OFFSET($F13,0,DoneDays-TrendDays,1,TrendDays),F13)&lt;0,"",TREND(OFFSET($F10,0,DoneDays-TrendDays,1,TrendDays),OFFSET($F13,0,DoneDays-TrendDays,1,TrendDays),F13))</f>
        <v>40.799999999999997</v>
      </c>
      <c r="G12" s="2">
        <f t="shared" ca="1" si="2"/>
        <v>34.5</v>
      </c>
      <c r="H12" s="2">
        <f t="shared" ca="1" si="2"/>
        <v>28.199999999999996</v>
      </c>
      <c r="I12" s="2">
        <f t="shared" ca="1" si="2"/>
        <v>21.9</v>
      </c>
      <c r="J12" s="2">
        <f t="shared" ca="1" si="2"/>
        <v>15.600000000000001</v>
      </c>
      <c r="K12" s="2">
        <f t="shared" ca="1" si="2"/>
        <v>9.2999999999999972</v>
      </c>
      <c r="L12" s="2">
        <f t="shared" ca="1" si="2"/>
        <v>3</v>
      </c>
      <c r="M12" s="2" t="str">
        <f t="shared" ca="1" si="2"/>
        <v/>
      </c>
      <c r="N12" s="2" t="str">
        <f t="shared" ca="1" si="2"/>
        <v/>
      </c>
      <c r="O12" s="2" t="str">
        <f t="shared" ca="1" si="2"/>
        <v/>
      </c>
      <c r="P12" s="2" t="str">
        <f t="shared" ca="1" si="2"/>
        <v/>
      </c>
      <c r="Q12" s="2" t="str">
        <f t="shared" ca="1" si="2"/>
        <v/>
      </c>
      <c r="R12" s="2" t="str">
        <f t="shared" ca="1" si="2"/>
        <v/>
      </c>
      <c r="S12" s="2" t="str">
        <f t="shared" ca="1" si="2"/>
        <v/>
      </c>
      <c r="T12" s="2" t="str">
        <f t="shared" ca="1" si="2"/>
        <v/>
      </c>
      <c r="U12" s="2" t="str">
        <f t="shared" ca="1" si="2"/>
        <v/>
      </c>
      <c r="V12" s="2" t="str">
        <f t="shared" ca="1" si="2"/>
        <v/>
      </c>
      <c r="W12" s="2" t="str">
        <f t="shared" ca="1" si="2"/>
        <v/>
      </c>
      <c r="X12" s="2" t="str">
        <f t="shared" ca="1" si="2"/>
        <v/>
      </c>
      <c r="Y12" s="2" t="str">
        <f t="shared" ca="1" si="2"/>
        <v/>
      </c>
      <c r="Z12" s="2" t="str">
        <f t="shared" ca="1" si="2"/>
        <v/>
      </c>
      <c r="AA12" s="2" t="str">
        <f t="shared" ca="1" si="2"/>
        <v/>
      </c>
      <c r="AB12" s="2" t="str">
        <f t="shared" ca="1" si="2"/>
        <v/>
      </c>
      <c r="AC12" s="2" t="str">
        <f t="shared" ca="1" si="2"/>
        <v/>
      </c>
      <c r="AD12" s="2" t="str">
        <f t="shared" ca="1" si="2"/>
        <v/>
      </c>
    </row>
    <row r="13" spans="1:30" customFormat="1" hidden="1" x14ac:dyDescent="0.2">
      <c r="A13" s="56" t="s">
        <v>106</v>
      </c>
      <c r="C13" t="s">
        <v>107</v>
      </c>
      <c r="D13" s="2">
        <f ca="1">IF(DoneDays&gt;B10,B10,DoneDays)</f>
        <v>5</v>
      </c>
      <c r="E13" s="2"/>
      <c r="F13" s="2">
        <f ca="1">IF(DoneDays&gt;E13,E13+1,"")</f>
        <v>1</v>
      </c>
      <c r="G13" s="2">
        <v>2</v>
      </c>
      <c r="H13" s="2">
        <v>3</v>
      </c>
      <c r="I13" s="2">
        <v>4</v>
      </c>
      <c r="J13" s="2">
        <v>5</v>
      </c>
      <c r="K13" s="2">
        <v>6</v>
      </c>
      <c r="L13" s="2">
        <v>7</v>
      </c>
      <c r="M13" s="2">
        <v>8</v>
      </c>
      <c r="N13" s="2">
        <v>9</v>
      </c>
      <c r="O13" s="2">
        <v>10</v>
      </c>
      <c r="P13" s="2">
        <v>11</v>
      </c>
      <c r="Q13" s="2">
        <v>12</v>
      </c>
      <c r="R13" s="2">
        <v>13</v>
      </c>
      <c r="S13" s="2">
        <v>14</v>
      </c>
      <c r="T13" s="2">
        <v>15</v>
      </c>
      <c r="U13" s="2">
        <v>16</v>
      </c>
      <c r="V13" s="2">
        <v>17</v>
      </c>
      <c r="W13" s="2">
        <v>18</v>
      </c>
      <c r="X13" s="2">
        <v>19</v>
      </c>
      <c r="Y13" s="2">
        <v>20</v>
      </c>
      <c r="Z13" s="2">
        <v>21</v>
      </c>
      <c r="AA13" s="2">
        <v>22</v>
      </c>
      <c r="AB13" s="2">
        <v>23</v>
      </c>
      <c r="AC13" s="2">
        <v>24</v>
      </c>
      <c r="AD13" s="2">
        <v>25</v>
      </c>
    </row>
    <row r="14" spans="1:30" x14ac:dyDescent="0.2">
      <c r="A14" s="68" t="s">
        <v>108</v>
      </c>
      <c r="B14" s="72" t="s">
        <v>18</v>
      </c>
      <c r="C14" s="68" t="s">
        <v>109</v>
      </c>
      <c r="D14" s="68" t="s">
        <v>6</v>
      </c>
      <c r="E14" s="72" t="s">
        <v>110</v>
      </c>
      <c r="F14" s="72">
        <v>1</v>
      </c>
      <c r="G14" s="72">
        <f t="shared" ref="G14:AD14" si="3">IF($B$9&gt;F14,F14+1,"")</f>
        <v>2</v>
      </c>
      <c r="H14" s="72">
        <f t="shared" si="3"/>
        <v>3</v>
      </c>
      <c r="I14" s="72">
        <f t="shared" si="3"/>
        <v>4</v>
      </c>
      <c r="J14" s="72">
        <f t="shared" si="3"/>
        <v>5</v>
      </c>
      <c r="K14" s="72" t="str">
        <f t="shared" si="3"/>
        <v/>
      </c>
      <c r="L14" s="72" t="str">
        <f t="shared" si="3"/>
        <v/>
      </c>
      <c r="M14" s="72" t="str">
        <f t="shared" si="3"/>
        <v/>
      </c>
      <c r="N14" s="72" t="str">
        <f t="shared" si="3"/>
        <v/>
      </c>
      <c r="O14" s="72" t="str">
        <f t="shared" si="3"/>
        <v/>
      </c>
      <c r="P14" s="72" t="str">
        <f t="shared" si="3"/>
        <v/>
      </c>
      <c r="Q14" s="72" t="str">
        <f t="shared" si="3"/>
        <v/>
      </c>
      <c r="R14" s="72" t="str">
        <f t="shared" si="3"/>
        <v/>
      </c>
      <c r="S14" s="72" t="str">
        <f t="shared" si="3"/>
        <v/>
      </c>
      <c r="T14" s="72" t="str">
        <f t="shared" si="3"/>
        <v/>
      </c>
      <c r="U14" s="72" t="str">
        <f t="shared" si="3"/>
        <v/>
      </c>
      <c r="V14" s="72" t="str">
        <f t="shared" si="3"/>
        <v/>
      </c>
      <c r="W14" s="72" t="str">
        <f t="shared" si="3"/>
        <v/>
      </c>
      <c r="X14" s="72" t="str">
        <f t="shared" si="3"/>
        <v/>
      </c>
      <c r="Y14" s="72" t="str">
        <f t="shared" si="3"/>
        <v/>
      </c>
      <c r="Z14" s="72" t="str">
        <f t="shared" si="3"/>
        <v/>
      </c>
      <c r="AA14" s="72" t="str">
        <f t="shared" si="3"/>
        <v/>
      </c>
      <c r="AB14" s="72" t="str">
        <f t="shared" si="3"/>
        <v/>
      </c>
      <c r="AC14" s="72" t="str">
        <f t="shared" si="3"/>
        <v/>
      </c>
      <c r="AD14" s="72" t="str">
        <f t="shared" si="3"/>
        <v/>
      </c>
    </row>
    <row r="15" spans="1:30" x14ac:dyDescent="0.2">
      <c r="A15" s="35" t="s">
        <v>45</v>
      </c>
      <c r="B15" s="34">
        <v>11</v>
      </c>
      <c r="C15" t="s">
        <v>118</v>
      </c>
      <c r="D15" s="35" t="s">
        <v>24</v>
      </c>
      <c r="E15" s="34">
        <v>1</v>
      </c>
      <c r="F15" s="34">
        <f>IF(OR(F$14="",$E15=""),"",E15)</f>
        <v>1</v>
      </c>
      <c r="G15" s="34">
        <v>0</v>
      </c>
      <c r="H15" s="34">
        <v>0</v>
      </c>
      <c r="I15" s="34">
        <v>0</v>
      </c>
      <c r="J15" s="34">
        <v>0</v>
      </c>
      <c r="AC15" s="34" t="str">
        <f>IF(OR(AC$14="",$E15=""),"",AB15)</f>
        <v/>
      </c>
      <c r="AD15" s="34" t="str">
        <f>IF(OR(AD$14="",$E15=""),"",AC15)</f>
        <v/>
      </c>
    </row>
    <row r="16" spans="1:30" x14ac:dyDescent="0.2">
      <c r="A16" s="35" t="s">
        <v>46</v>
      </c>
      <c r="B16" s="34">
        <v>12</v>
      </c>
      <c r="C16" t="s">
        <v>119</v>
      </c>
      <c r="D16" s="35" t="s">
        <v>24</v>
      </c>
      <c r="E16" s="34">
        <v>3</v>
      </c>
      <c r="F16" s="34">
        <v>2.5</v>
      </c>
      <c r="G16" s="34">
        <v>2</v>
      </c>
      <c r="H16" s="34">
        <v>1</v>
      </c>
      <c r="I16" s="34">
        <v>0</v>
      </c>
      <c r="J16" s="34">
        <v>0</v>
      </c>
    </row>
    <row r="17" spans="1:30" x14ac:dyDescent="0.2">
      <c r="A17" s="35" t="s">
        <v>120</v>
      </c>
      <c r="B17" s="34">
        <v>5</v>
      </c>
      <c r="C17" t="s">
        <v>121</v>
      </c>
      <c r="D17" s="35" t="s">
        <v>31</v>
      </c>
      <c r="E17" s="34">
        <v>4</v>
      </c>
      <c r="F17" s="34">
        <v>3</v>
      </c>
      <c r="G17" s="34">
        <v>3</v>
      </c>
      <c r="H17" s="34">
        <v>2</v>
      </c>
      <c r="I17" s="34">
        <v>2</v>
      </c>
      <c r="J17" s="34">
        <v>1</v>
      </c>
    </row>
    <row r="18" spans="1:30" x14ac:dyDescent="0.2">
      <c r="A18" s="35" t="s">
        <v>122</v>
      </c>
      <c r="B18" s="34">
        <v>5</v>
      </c>
      <c r="C18" t="s">
        <v>123</v>
      </c>
      <c r="D18" s="35" t="s">
        <v>31</v>
      </c>
      <c r="E18" s="34">
        <v>6</v>
      </c>
      <c r="F18" s="34">
        <v>5</v>
      </c>
      <c r="G18" s="34">
        <v>4</v>
      </c>
      <c r="H18" s="34">
        <v>4</v>
      </c>
      <c r="I18" s="34">
        <v>3</v>
      </c>
      <c r="J18" s="34">
        <v>3</v>
      </c>
    </row>
    <row r="19" spans="1:30" x14ac:dyDescent="0.2">
      <c r="A19" s="35" t="s">
        <v>124</v>
      </c>
      <c r="B19" s="34">
        <v>5</v>
      </c>
      <c r="C19" t="s">
        <v>125</v>
      </c>
      <c r="D19" s="35" t="s">
        <v>24</v>
      </c>
      <c r="E19" s="34">
        <v>1</v>
      </c>
      <c r="F19" s="34">
        <v>0.5</v>
      </c>
      <c r="G19" s="34">
        <v>0</v>
      </c>
      <c r="H19" s="34">
        <v>0</v>
      </c>
      <c r="I19" s="34">
        <v>0</v>
      </c>
      <c r="J19" s="34">
        <v>0</v>
      </c>
      <c r="AC19" s="34" t="str">
        <f t="shared" ref="AC19:AD37" si="4">IF(OR(AC$14="",$E19=""),"",AB19)</f>
        <v/>
      </c>
      <c r="AD19" s="34" t="str">
        <f t="shared" si="4"/>
        <v/>
      </c>
    </row>
    <row r="20" spans="1:30" x14ac:dyDescent="0.2">
      <c r="A20" s="35" t="s">
        <v>126</v>
      </c>
      <c r="B20" s="34">
        <v>5</v>
      </c>
      <c r="C20" t="s">
        <v>123</v>
      </c>
      <c r="D20" s="35" t="s">
        <v>31</v>
      </c>
      <c r="E20" s="34">
        <v>3</v>
      </c>
      <c r="F20" s="34">
        <v>2</v>
      </c>
      <c r="G20" s="34">
        <v>1</v>
      </c>
      <c r="H20" s="34">
        <v>1</v>
      </c>
      <c r="I20" s="34">
        <v>1</v>
      </c>
      <c r="J20" s="34">
        <v>0.5</v>
      </c>
    </row>
    <row r="21" spans="1:30" x14ac:dyDescent="0.2">
      <c r="A21" s="35" t="s">
        <v>127</v>
      </c>
      <c r="B21" s="34">
        <v>5</v>
      </c>
      <c r="C21" t="s">
        <v>125</v>
      </c>
      <c r="D21" s="35" t="s">
        <v>24</v>
      </c>
      <c r="E21" s="34">
        <v>2</v>
      </c>
      <c r="F21" s="34">
        <v>2</v>
      </c>
      <c r="G21" s="34">
        <v>1</v>
      </c>
      <c r="H21" s="34">
        <v>1</v>
      </c>
      <c r="I21" s="34">
        <v>1</v>
      </c>
      <c r="J21" s="34">
        <v>0</v>
      </c>
      <c r="AC21" s="34" t="str">
        <f t="shared" si="4"/>
        <v/>
      </c>
      <c r="AD21" s="34" t="str">
        <f t="shared" si="4"/>
        <v/>
      </c>
    </row>
    <row r="22" spans="1:30" x14ac:dyDescent="0.2">
      <c r="A22" s="35" t="s">
        <v>128</v>
      </c>
      <c r="B22" s="34">
        <v>5</v>
      </c>
      <c r="C22" t="s">
        <v>123</v>
      </c>
      <c r="D22" s="35" t="s">
        <v>24</v>
      </c>
      <c r="E22" s="34">
        <v>3</v>
      </c>
      <c r="F22" s="34">
        <v>2</v>
      </c>
      <c r="G22" s="34">
        <v>1</v>
      </c>
      <c r="H22" s="34">
        <v>1</v>
      </c>
      <c r="I22" s="34">
        <v>1</v>
      </c>
      <c r="J22" s="34">
        <v>0</v>
      </c>
    </row>
    <row r="23" spans="1:30" x14ac:dyDescent="0.2">
      <c r="A23" s="35" t="s">
        <v>129</v>
      </c>
      <c r="B23" s="34">
        <v>5</v>
      </c>
      <c r="C23" t="s">
        <v>130</v>
      </c>
      <c r="D23" s="35" t="s">
        <v>31</v>
      </c>
      <c r="E23" s="34">
        <v>2</v>
      </c>
      <c r="F23" s="34">
        <v>2</v>
      </c>
      <c r="G23" s="34">
        <v>2</v>
      </c>
      <c r="H23" s="34">
        <v>0.5</v>
      </c>
      <c r="I23" s="34">
        <v>0.5</v>
      </c>
      <c r="J23" s="34">
        <v>0.5</v>
      </c>
      <c r="AC23" s="34" t="str">
        <f t="shared" si="4"/>
        <v/>
      </c>
      <c r="AD23" s="34" t="str">
        <f t="shared" si="4"/>
        <v/>
      </c>
    </row>
    <row r="24" spans="1:30" x14ac:dyDescent="0.2">
      <c r="A24" s="35" t="s">
        <v>131</v>
      </c>
      <c r="B24" s="34">
        <v>5</v>
      </c>
      <c r="C24" t="s">
        <v>132</v>
      </c>
      <c r="D24" s="35" t="s">
        <v>39</v>
      </c>
      <c r="E24" s="34">
        <v>3</v>
      </c>
      <c r="F24" s="34">
        <v>3</v>
      </c>
      <c r="G24" s="34">
        <v>3</v>
      </c>
      <c r="H24" s="34">
        <v>3</v>
      </c>
      <c r="I24" s="34">
        <v>3</v>
      </c>
      <c r="J24" s="34">
        <v>3</v>
      </c>
    </row>
    <row r="25" spans="1:30" x14ac:dyDescent="0.2">
      <c r="A25" s="35" t="s">
        <v>133</v>
      </c>
      <c r="C25"/>
    </row>
    <row r="26" spans="1:30" x14ac:dyDescent="0.2">
      <c r="A26" s="35" t="s">
        <v>133</v>
      </c>
      <c r="C26"/>
    </row>
    <row r="27" spans="1:30" x14ac:dyDescent="0.2">
      <c r="A27" s="35" t="s">
        <v>134</v>
      </c>
      <c r="B27" s="34">
        <v>3</v>
      </c>
      <c r="C27" t="s">
        <v>121</v>
      </c>
      <c r="D27" s="35" t="s">
        <v>31</v>
      </c>
      <c r="E27" s="34">
        <v>3</v>
      </c>
      <c r="F27" s="34">
        <v>3</v>
      </c>
      <c r="G27" s="34">
        <v>3</v>
      </c>
      <c r="H27" s="34">
        <v>2</v>
      </c>
      <c r="I27" s="34">
        <v>1</v>
      </c>
      <c r="J27" s="34">
        <v>1</v>
      </c>
      <c r="AC27" s="34" t="str">
        <f t="shared" si="4"/>
        <v/>
      </c>
      <c r="AD27" s="34" t="str">
        <f t="shared" si="4"/>
        <v/>
      </c>
    </row>
    <row r="28" spans="1:30" ht="15" customHeight="1" x14ac:dyDescent="0.2">
      <c r="A28" s="35" t="s">
        <v>135</v>
      </c>
      <c r="B28" s="34">
        <v>3</v>
      </c>
      <c r="C28" t="s">
        <v>123</v>
      </c>
      <c r="D28" s="35" t="s">
        <v>31</v>
      </c>
      <c r="E28" s="34">
        <v>5</v>
      </c>
      <c r="F28" s="34">
        <f t="shared" ref="F28:F36" si="5">IF(OR(F$14="",$E28=""),"",E28)</f>
        <v>5</v>
      </c>
      <c r="G28" s="34">
        <v>5</v>
      </c>
      <c r="H28" s="34">
        <v>3</v>
      </c>
      <c r="I28" s="34">
        <v>2</v>
      </c>
      <c r="J28" s="34">
        <v>2</v>
      </c>
      <c r="AC28" s="34" t="str">
        <f t="shared" si="4"/>
        <v/>
      </c>
      <c r="AD28" s="34" t="str">
        <f t="shared" si="4"/>
        <v/>
      </c>
    </row>
    <row r="29" spans="1:30" ht="15" customHeight="1" x14ac:dyDescent="0.2">
      <c r="C29"/>
    </row>
    <row r="30" spans="1:30" ht="15" customHeight="1" x14ac:dyDescent="0.2">
      <c r="A30" s="35" t="s">
        <v>136</v>
      </c>
      <c r="B30" s="34">
        <v>3</v>
      </c>
      <c r="C30" t="s">
        <v>137</v>
      </c>
      <c r="D30" s="35" t="s">
        <v>31</v>
      </c>
      <c r="E30" s="34">
        <v>1</v>
      </c>
      <c r="F30" s="34">
        <v>1</v>
      </c>
      <c r="G30" s="34">
        <v>1</v>
      </c>
      <c r="H30" s="34">
        <v>1</v>
      </c>
      <c r="I30" s="34">
        <v>0.5</v>
      </c>
      <c r="J30" s="34">
        <v>0.5</v>
      </c>
    </row>
    <row r="31" spans="1:30" ht="15" customHeight="1" x14ac:dyDescent="0.2">
      <c r="A31" s="35" t="s">
        <v>138</v>
      </c>
      <c r="B31" s="34">
        <v>3</v>
      </c>
      <c r="C31" t="s">
        <v>137</v>
      </c>
      <c r="D31" s="35" t="s">
        <v>31</v>
      </c>
      <c r="E31" s="34">
        <v>2</v>
      </c>
      <c r="F31" s="34">
        <v>2</v>
      </c>
      <c r="G31" s="34">
        <v>2</v>
      </c>
      <c r="H31" s="34">
        <v>2</v>
      </c>
      <c r="I31" s="34">
        <v>1</v>
      </c>
      <c r="J31" s="34">
        <v>1</v>
      </c>
    </row>
    <row r="32" spans="1:30" ht="15" customHeight="1" x14ac:dyDescent="0.2">
      <c r="A32" s="35" t="s">
        <v>139</v>
      </c>
      <c r="B32" s="34">
        <v>3</v>
      </c>
      <c r="C32" t="s">
        <v>137</v>
      </c>
      <c r="D32" s="35" t="s">
        <v>31</v>
      </c>
      <c r="E32" s="34">
        <v>3</v>
      </c>
      <c r="F32" s="34">
        <v>3</v>
      </c>
      <c r="G32" s="34">
        <v>3</v>
      </c>
      <c r="H32" s="34">
        <v>3</v>
      </c>
      <c r="I32" s="34">
        <v>2</v>
      </c>
      <c r="J32" s="34">
        <v>2</v>
      </c>
    </row>
    <row r="33" spans="1:30" x14ac:dyDescent="0.2">
      <c r="A33" s="35" t="s">
        <v>140</v>
      </c>
      <c r="B33" s="34">
        <v>3</v>
      </c>
      <c r="C33" t="s">
        <v>137</v>
      </c>
      <c r="D33" s="35" t="s">
        <v>31</v>
      </c>
      <c r="E33" s="34">
        <v>3</v>
      </c>
      <c r="F33" s="34">
        <f t="shared" si="5"/>
        <v>3</v>
      </c>
      <c r="G33" s="34">
        <v>3</v>
      </c>
      <c r="H33" s="34">
        <v>2</v>
      </c>
      <c r="I33" s="34">
        <v>2</v>
      </c>
      <c r="J33" s="34">
        <v>1</v>
      </c>
      <c r="AC33" s="34" t="str">
        <f t="shared" si="4"/>
        <v/>
      </c>
      <c r="AD33" s="34" t="str">
        <f t="shared" si="4"/>
        <v/>
      </c>
    </row>
    <row r="34" spans="1:30" x14ac:dyDescent="0.2">
      <c r="A34" s="35" t="s">
        <v>141</v>
      </c>
      <c r="B34" s="34">
        <v>5</v>
      </c>
      <c r="C34" t="s">
        <v>125</v>
      </c>
      <c r="D34" s="35" t="s">
        <v>24</v>
      </c>
      <c r="E34" s="34">
        <v>2</v>
      </c>
      <c r="F34" s="34">
        <v>0</v>
      </c>
      <c r="G34" s="34">
        <v>0</v>
      </c>
      <c r="H34" s="34">
        <v>0</v>
      </c>
      <c r="I34" s="34">
        <v>0</v>
      </c>
      <c r="J34" s="34">
        <v>0</v>
      </c>
      <c r="AC34" s="34" t="str">
        <f t="shared" si="4"/>
        <v/>
      </c>
      <c r="AD34" s="34" t="str">
        <f t="shared" si="4"/>
        <v/>
      </c>
    </row>
    <row r="35" spans="1:30" x14ac:dyDescent="0.2">
      <c r="A35" s="35" t="s">
        <v>142</v>
      </c>
      <c r="B35" s="34">
        <v>5</v>
      </c>
      <c r="C35"/>
      <c r="D35" s="35" t="str">
        <f t="shared" ref="D35:D38" si="6">IF(A35&lt;&gt;"","Planned","")</f>
        <v>Planned</v>
      </c>
      <c r="F35" s="34" t="str">
        <f t="shared" si="5"/>
        <v/>
      </c>
      <c r="AC35" s="34" t="str">
        <f t="shared" si="4"/>
        <v/>
      </c>
      <c r="AD35" s="34" t="str">
        <f t="shared" si="4"/>
        <v/>
      </c>
    </row>
    <row r="36" spans="1:30" x14ac:dyDescent="0.2">
      <c r="A36" s="35" t="s">
        <v>143</v>
      </c>
      <c r="B36" s="34">
        <v>5</v>
      </c>
      <c r="C36"/>
      <c r="D36" s="35" t="str">
        <f t="shared" si="6"/>
        <v>Planned</v>
      </c>
      <c r="F36" s="34" t="str">
        <f t="shared" si="5"/>
        <v/>
      </c>
      <c r="G36" s="34" t="str">
        <f t="shared" ref="G36:AB36" si="7">IF(OR(G$14="",$E36=""),"",F36)</f>
        <v/>
      </c>
      <c r="H36" s="34" t="str">
        <f t="shared" si="7"/>
        <v/>
      </c>
      <c r="I36" s="34" t="str">
        <f t="shared" si="7"/>
        <v/>
      </c>
      <c r="J36" s="34" t="str">
        <f t="shared" si="7"/>
        <v/>
      </c>
      <c r="K36" s="34" t="str">
        <f t="shared" si="7"/>
        <v/>
      </c>
      <c r="L36" s="34" t="str">
        <f t="shared" si="7"/>
        <v/>
      </c>
      <c r="M36" s="34" t="str">
        <f t="shared" si="7"/>
        <v/>
      </c>
      <c r="N36" s="34" t="str">
        <f t="shared" si="7"/>
        <v/>
      </c>
      <c r="O36" s="34" t="str">
        <f t="shared" si="7"/>
        <v/>
      </c>
      <c r="P36" s="34" t="str">
        <f t="shared" si="7"/>
        <v/>
      </c>
      <c r="Q36" s="34" t="str">
        <f t="shared" si="7"/>
        <v/>
      </c>
      <c r="R36" s="34" t="str">
        <f t="shared" si="7"/>
        <v/>
      </c>
      <c r="S36" s="34" t="str">
        <f t="shared" si="7"/>
        <v/>
      </c>
      <c r="T36" s="34" t="str">
        <f t="shared" si="7"/>
        <v/>
      </c>
      <c r="U36" s="34" t="str">
        <f t="shared" si="7"/>
        <v/>
      </c>
      <c r="V36" s="34" t="str">
        <f t="shared" si="7"/>
        <v/>
      </c>
      <c r="W36" s="34" t="str">
        <f t="shared" si="7"/>
        <v/>
      </c>
      <c r="X36" s="34" t="str">
        <f t="shared" si="7"/>
        <v/>
      </c>
      <c r="Y36" s="34" t="str">
        <f t="shared" si="7"/>
        <v/>
      </c>
      <c r="Z36" s="34" t="str">
        <f t="shared" si="7"/>
        <v/>
      </c>
      <c r="AA36" s="34" t="str">
        <f t="shared" si="7"/>
        <v/>
      </c>
      <c r="AB36" s="34" t="str">
        <f t="shared" si="7"/>
        <v/>
      </c>
      <c r="AC36" s="34" t="str">
        <f t="shared" si="4"/>
        <v/>
      </c>
      <c r="AD36" s="34" t="str">
        <f t="shared" si="4"/>
        <v/>
      </c>
    </row>
    <row r="37" spans="1:30" x14ac:dyDescent="0.2">
      <c r="A37" s="35" t="s">
        <v>144</v>
      </c>
      <c r="B37" s="34">
        <v>5</v>
      </c>
      <c r="C37" t="s">
        <v>125</v>
      </c>
      <c r="D37" s="35" t="s">
        <v>31</v>
      </c>
      <c r="E37" s="34">
        <v>2</v>
      </c>
      <c r="F37" s="34">
        <v>1</v>
      </c>
      <c r="G37" s="34">
        <f t="shared" ref="G37:AB37" si="8">IF(OR(G$14="",$E37=""),"",F37)</f>
        <v>1</v>
      </c>
      <c r="H37" s="34">
        <f t="shared" si="8"/>
        <v>1</v>
      </c>
      <c r="I37" s="34">
        <f t="shared" si="8"/>
        <v>1</v>
      </c>
      <c r="J37" s="34">
        <f t="shared" si="8"/>
        <v>1</v>
      </c>
      <c r="K37" s="34" t="str">
        <f t="shared" si="8"/>
        <v/>
      </c>
      <c r="L37" s="34" t="str">
        <f t="shared" si="8"/>
        <v/>
      </c>
      <c r="M37" s="34" t="str">
        <f t="shared" si="8"/>
        <v/>
      </c>
      <c r="N37" s="34" t="str">
        <f t="shared" si="8"/>
        <v/>
      </c>
      <c r="O37" s="34" t="str">
        <f t="shared" si="8"/>
        <v/>
      </c>
      <c r="P37" s="34" t="str">
        <f t="shared" si="8"/>
        <v/>
      </c>
      <c r="Q37" s="34" t="str">
        <f t="shared" si="8"/>
        <v/>
      </c>
      <c r="R37" s="34" t="str">
        <f t="shared" si="8"/>
        <v/>
      </c>
      <c r="S37" s="34" t="str">
        <f t="shared" si="8"/>
        <v/>
      </c>
      <c r="T37" s="34" t="str">
        <f t="shared" si="8"/>
        <v/>
      </c>
      <c r="U37" s="34" t="str">
        <f t="shared" si="8"/>
        <v/>
      </c>
      <c r="V37" s="34" t="str">
        <f t="shared" si="8"/>
        <v/>
      </c>
      <c r="W37" s="34" t="str">
        <f t="shared" si="8"/>
        <v/>
      </c>
      <c r="X37" s="34" t="str">
        <f t="shared" si="8"/>
        <v/>
      </c>
      <c r="Y37" s="34" t="str">
        <f t="shared" si="8"/>
        <v/>
      </c>
      <c r="Z37" s="34" t="str">
        <f t="shared" si="8"/>
        <v/>
      </c>
      <c r="AA37" s="34" t="str">
        <f t="shared" si="8"/>
        <v/>
      </c>
      <c r="AB37" s="34" t="str">
        <f t="shared" si="8"/>
        <v/>
      </c>
      <c r="AC37" s="34" t="str">
        <f t="shared" si="4"/>
        <v/>
      </c>
      <c r="AD37" s="34" t="str">
        <f t="shared" si="4"/>
        <v/>
      </c>
    </row>
    <row r="38" spans="1:30" x14ac:dyDescent="0.2">
      <c r="A38" s="35" t="s">
        <v>145</v>
      </c>
      <c r="B38" s="2"/>
      <c r="C38"/>
      <c r="D38" s="35" t="str">
        <f t="shared" si="6"/>
        <v>Planned</v>
      </c>
      <c r="E38" s="2"/>
      <c r="F38" s="2"/>
      <c r="G38" s="2"/>
      <c r="H38" s="2"/>
      <c r="I38" s="2"/>
    </row>
    <row r="39" spans="1:30" x14ac:dyDescent="0.2">
      <c r="A39"/>
      <c r="B39" s="2"/>
      <c r="C39"/>
      <c r="D39"/>
      <c r="E39" s="2"/>
      <c r="F39" s="2"/>
      <c r="G39" s="2"/>
      <c r="H39" s="2"/>
      <c r="I39" s="2"/>
    </row>
    <row r="40" spans="1:30" x14ac:dyDescent="0.2">
      <c r="A40"/>
      <c r="B40" s="2"/>
      <c r="C40"/>
      <c r="D40"/>
      <c r="E40" s="2"/>
      <c r="F40" s="2"/>
      <c r="G40" s="2"/>
      <c r="H40" s="2"/>
      <c r="I40" s="2"/>
      <c r="AC40" s="34" t="str">
        <f>IF(OR(AC$14="",$E40=""),"",AB40)</f>
        <v/>
      </c>
      <c r="AD40" s="34" t="str">
        <f>IF(OR(AD$14="",$E40=""),"",AC40)</f>
        <v/>
      </c>
    </row>
    <row r="41" spans="1:30" x14ac:dyDescent="0.2">
      <c r="A41"/>
      <c r="B41" s="2"/>
      <c r="C41"/>
      <c r="D41"/>
      <c r="E41" s="2"/>
      <c r="F41" s="2"/>
      <c r="G41" s="2"/>
      <c r="H41" s="2"/>
      <c r="I41" s="2"/>
    </row>
    <row r="42" spans="1:30" x14ac:dyDescent="0.2">
      <c r="A42"/>
      <c r="B42" s="2"/>
      <c r="C42"/>
      <c r="AC42" s="34" t="str">
        <f t="shared" ref="AC42:AD52" si="9">IF(OR(AC$14="",$E42=""),"",AB42)</f>
        <v/>
      </c>
      <c r="AD42" s="34" t="str">
        <f t="shared" si="9"/>
        <v/>
      </c>
    </row>
    <row r="43" spans="1:30" x14ac:dyDescent="0.2">
      <c r="C43"/>
      <c r="AC43" s="34" t="str">
        <f t="shared" si="9"/>
        <v/>
      </c>
      <c r="AD43" s="34" t="str">
        <f t="shared" si="9"/>
        <v/>
      </c>
    </row>
    <row r="44" spans="1:30" x14ac:dyDescent="0.2">
      <c r="C44"/>
      <c r="AC44" s="34" t="str">
        <f t="shared" si="9"/>
        <v/>
      </c>
      <c r="AD44" s="34" t="str">
        <f t="shared" si="9"/>
        <v/>
      </c>
    </row>
    <row r="45" spans="1:30" x14ac:dyDescent="0.2">
      <c r="C45"/>
      <c r="AC45" s="34" t="str">
        <f t="shared" si="9"/>
        <v/>
      </c>
      <c r="AD45" s="34" t="str">
        <f t="shared" si="9"/>
        <v/>
      </c>
    </row>
    <row r="46" spans="1:30" x14ac:dyDescent="0.2">
      <c r="C46"/>
      <c r="AC46" s="34" t="str">
        <f t="shared" si="9"/>
        <v/>
      </c>
      <c r="AD46" s="34" t="str">
        <f t="shared" si="9"/>
        <v/>
      </c>
    </row>
    <row r="47" spans="1:30" x14ac:dyDescent="0.2">
      <c r="A47" s="32"/>
      <c r="C47"/>
      <c r="AC47" s="34" t="str">
        <f t="shared" si="9"/>
        <v/>
      </c>
      <c r="AD47" s="34" t="str">
        <f t="shared" si="9"/>
        <v/>
      </c>
    </row>
    <row r="48" spans="1:30" x14ac:dyDescent="0.2">
      <c r="A48" s="32"/>
      <c r="C48"/>
      <c r="AC48" s="34" t="str">
        <f t="shared" si="9"/>
        <v/>
      </c>
      <c r="AD48" s="34" t="str">
        <f t="shared" si="9"/>
        <v/>
      </c>
    </row>
    <row r="49" spans="1:30" x14ac:dyDescent="0.2">
      <c r="A49" s="32"/>
      <c r="C49"/>
      <c r="AC49" s="34" t="str">
        <f t="shared" si="9"/>
        <v/>
      </c>
      <c r="AD49" s="34" t="str">
        <f t="shared" si="9"/>
        <v/>
      </c>
    </row>
    <row r="50" spans="1:30" x14ac:dyDescent="0.2">
      <c r="A50" s="32"/>
      <c r="C50"/>
      <c r="AC50" s="34" t="str">
        <f t="shared" si="9"/>
        <v/>
      </c>
      <c r="AD50" s="34" t="str">
        <f t="shared" si="9"/>
        <v/>
      </c>
    </row>
    <row r="51" spans="1:30" x14ac:dyDescent="0.2">
      <c r="A51" s="32"/>
      <c r="C51"/>
      <c r="AC51" s="34" t="str">
        <f t="shared" si="9"/>
        <v/>
      </c>
      <c r="AD51" s="34" t="str">
        <f t="shared" si="9"/>
        <v/>
      </c>
    </row>
    <row r="52" spans="1:30" x14ac:dyDescent="0.2">
      <c r="A52" s="32"/>
      <c r="C52"/>
      <c r="AC52" s="34" t="str">
        <f t="shared" si="9"/>
        <v/>
      </c>
      <c r="AD52" s="34" t="str">
        <f t="shared" si="9"/>
        <v/>
      </c>
    </row>
    <row r="53" spans="1:30" x14ac:dyDescent="0.2">
      <c r="A53" s="32"/>
      <c r="C53"/>
    </row>
    <row r="54" spans="1:30" x14ac:dyDescent="0.2">
      <c r="A54" s="32"/>
      <c r="C54"/>
      <c r="AC54" s="34" t="str">
        <f t="shared" ref="AC54:AD62" si="10">IF(OR(AC$14="",$E54=""),"",AB54)</f>
        <v/>
      </c>
      <c r="AD54" s="34" t="str">
        <f t="shared" si="10"/>
        <v/>
      </c>
    </row>
    <row r="55" spans="1:30" x14ac:dyDescent="0.2">
      <c r="A55" s="32"/>
      <c r="C55"/>
      <c r="AC55" s="34" t="str">
        <f t="shared" si="10"/>
        <v/>
      </c>
      <c r="AD55" s="34" t="str">
        <f t="shared" si="10"/>
        <v/>
      </c>
    </row>
    <row r="56" spans="1:30" x14ac:dyDescent="0.2">
      <c r="A56" s="32"/>
      <c r="C56"/>
      <c r="AC56" s="34" t="str">
        <f t="shared" si="10"/>
        <v/>
      </c>
      <c r="AD56" s="34" t="str">
        <f t="shared" si="10"/>
        <v/>
      </c>
    </row>
    <row r="57" spans="1:30" x14ac:dyDescent="0.2">
      <c r="A57" s="32"/>
      <c r="C57"/>
      <c r="AC57" s="34" t="str">
        <f t="shared" si="10"/>
        <v/>
      </c>
      <c r="AD57" s="34" t="str">
        <f t="shared" si="10"/>
        <v/>
      </c>
    </row>
    <row r="58" spans="1:30" x14ac:dyDescent="0.2">
      <c r="A58" s="32"/>
      <c r="C58"/>
      <c r="AC58" s="34" t="str">
        <f t="shared" si="10"/>
        <v/>
      </c>
      <c r="AD58" s="34" t="str">
        <f t="shared" si="10"/>
        <v/>
      </c>
    </row>
    <row r="59" spans="1:30" x14ac:dyDescent="0.2">
      <c r="A59" s="32"/>
      <c r="C59"/>
      <c r="AC59" s="34" t="str">
        <f t="shared" si="10"/>
        <v/>
      </c>
      <c r="AD59" s="34" t="str">
        <f t="shared" si="10"/>
        <v/>
      </c>
    </row>
    <row r="60" spans="1:30" x14ac:dyDescent="0.2">
      <c r="A60" s="32"/>
      <c r="C60"/>
      <c r="AC60" s="34" t="str">
        <f t="shared" si="10"/>
        <v/>
      </c>
      <c r="AD60" s="34" t="str">
        <f t="shared" si="10"/>
        <v/>
      </c>
    </row>
    <row r="61" spans="1:30" x14ac:dyDescent="0.2">
      <c r="A61" s="32"/>
      <c r="C61"/>
      <c r="AC61" s="34" t="str">
        <f t="shared" si="10"/>
        <v/>
      </c>
      <c r="AD61" s="34" t="str">
        <f t="shared" si="10"/>
        <v/>
      </c>
    </row>
    <row r="62" spans="1:30" x14ac:dyDescent="0.2">
      <c r="A62" s="32"/>
      <c r="C62"/>
      <c r="AC62" s="34" t="str">
        <f t="shared" si="10"/>
        <v/>
      </c>
      <c r="AD62" s="34" t="str">
        <f t="shared" si="10"/>
        <v/>
      </c>
    </row>
    <row r="63" spans="1:30" x14ac:dyDescent="0.2">
      <c r="A63" s="32"/>
      <c r="C63"/>
    </row>
    <row r="64" spans="1:30" x14ac:dyDescent="0.2">
      <c r="A64" s="32"/>
      <c r="C64"/>
      <c r="AC64" s="34" t="str">
        <f t="shared" ref="AC64:AD68" si="11">IF(OR(AC$14="",$E64=""),"",AB64)</f>
        <v/>
      </c>
      <c r="AD64" s="34" t="str">
        <f t="shared" si="11"/>
        <v/>
      </c>
    </row>
    <row r="65" spans="1:30" x14ac:dyDescent="0.2">
      <c r="A65" s="32"/>
      <c r="C65"/>
      <c r="AC65" s="34" t="str">
        <f t="shared" si="11"/>
        <v/>
      </c>
      <c r="AD65" s="34" t="str">
        <f t="shared" si="11"/>
        <v/>
      </c>
    </row>
    <row r="66" spans="1:30" x14ac:dyDescent="0.2">
      <c r="A66" s="32"/>
      <c r="C66"/>
      <c r="AC66" s="34" t="str">
        <f t="shared" si="11"/>
        <v/>
      </c>
      <c r="AD66" s="34" t="str">
        <f t="shared" si="11"/>
        <v/>
      </c>
    </row>
    <row r="67" spans="1:30" x14ac:dyDescent="0.2">
      <c r="A67" s="32"/>
      <c r="C67"/>
      <c r="AC67" s="34" t="str">
        <f t="shared" si="11"/>
        <v/>
      </c>
      <c r="AD67" s="34" t="str">
        <f t="shared" si="11"/>
        <v/>
      </c>
    </row>
    <row r="68" spans="1:30" x14ac:dyDescent="0.2">
      <c r="A68" s="32"/>
      <c r="C68"/>
      <c r="AC68" s="34" t="str">
        <f t="shared" si="11"/>
        <v/>
      </c>
      <c r="AD68" s="34" t="str">
        <f t="shared" si="11"/>
        <v/>
      </c>
    </row>
    <row r="69" spans="1:30" x14ac:dyDescent="0.2">
      <c r="C69"/>
      <c r="D69" s="35" t="str">
        <f>IF(A69&lt;&gt;"","Planned","")</f>
        <v/>
      </c>
    </row>
    <row r="70" spans="1:30" x14ac:dyDescent="0.2">
      <c r="C70"/>
    </row>
    <row r="71" spans="1:30" x14ac:dyDescent="0.2">
      <c r="C71"/>
    </row>
    <row r="72" spans="1:30" x14ac:dyDescent="0.2">
      <c r="C72"/>
    </row>
    <row r="73" spans="1:30" x14ac:dyDescent="0.2">
      <c r="C73"/>
    </row>
    <row r="74" spans="1:30" x14ac:dyDescent="0.2">
      <c r="C74"/>
    </row>
    <row r="75" spans="1:30" x14ac:dyDescent="0.2">
      <c r="C75"/>
    </row>
    <row r="76" spans="1:30" x14ac:dyDescent="0.2">
      <c r="C76"/>
    </row>
    <row r="77" spans="1:30" x14ac:dyDescent="0.2">
      <c r="C77"/>
    </row>
    <row r="78" spans="1:30" x14ac:dyDescent="0.2">
      <c r="C78"/>
    </row>
    <row r="79" spans="1:30" x14ac:dyDescent="0.2">
      <c r="C79"/>
    </row>
    <row r="80" spans="1:30" x14ac:dyDescent="0.2">
      <c r="C80"/>
    </row>
    <row r="81" spans="3:3" x14ac:dyDescent="0.2">
      <c r="C81"/>
    </row>
    <row r="82" spans="3:3" x14ac:dyDescent="0.2">
      <c r="C82"/>
    </row>
    <row r="83" spans="3:3" x14ac:dyDescent="0.2">
      <c r="C83"/>
    </row>
    <row r="84" spans="3:3" x14ac:dyDescent="0.2">
      <c r="C84"/>
    </row>
    <row r="85" spans="3:3" x14ac:dyDescent="0.2">
      <c r="C85"/>
    </row>
    <row r="86" spans="3:3" x14ac:dyDescent="0.2">
      <c r="C86"/>
    </row>
    <row r="87" spans="3:3" x14ac:dyDescent="0.2">
      <c r="C87"/>
    </row>
    <row r="88" spans="3:3" x14ac:dyDescent="0.2">
      <c r="C88"/>
    </row>
    <row r="89" spans="3:3" x14ac:dyDescent="0.2">
      <c r="C89"/>
    </row>
    <row r="90" spans="3:3" x14ac:dyDescent="0.2">
      <c r="C90"/>
    </row>
    <row r="91" spans="3:3" x14ac:dyDescent="0.2">
      <c r="C91"/>
    </row>
    <row r="92" spans="3:3" x14ac:dyDescent="0.2">
      <c r="C92"/>
    </row>
  </sheetData>
  <phoneticPr fontId="2" type="noConversion"/>
  <conditionalFormatting sqref="B15:AD16 A17:AD63">
    <cfRule type="expression" dxfId="17" priority="3" stopIfTrue="1">
      <formula>$D15="Done"</formula>
    </cfRule>
    <cfRule type="expression" dxfId="16" priority="4" stopIfTrue="1">
      <formula>$D15="Ongoing"</formula>
    </cfRule>
  </conditionalFormatting>
  <conditionalFormatting sqref="A15:A16">
    <cfRule type="expression" dxfId="15" priority="1" stopIfTrue="1">
      <formula>$D15="Done"</formula>
    </cfRule>
    <cfRule type="expression" dxfId="14" priority="2" stopIfTrue="1">
      <formula>$D15="Ongoing"</formula>
    </cfRule>
  </conditionalFormatting>
  <dataValidations count="1">
    <dataValidation type="list" allowBlank="1" showInputMessage="1" sqref="D3:D8 D15:D69">
      <formula1>"Planned,Ongoing,Done"</formula1>
    </dataValidation>
  </dataValidations>
  <pageMargins left="0.78740157499999996" right="0.78740157499999996" top="0.984251969" bottom="0.984251969" header="0.5" footer="0.5"/>
  <pageSetup paperSize="9" orientation="portrait" r:id="rId1"/>
  <headerFooter alignWithMargins="0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D99"/>
  <sheetViews>
    <sheetView tabSelected="1" zoomScale="140" zoomScaleNormal="140" workbookViewId="0">
      <pane ySplit="14" topLeftCell="A45" activePane="bottomLeft" state="frozen"/>
      <selection pane="bottomLeft" activeCell="K48" sqref="K48:O50"/>
    </sheetView>
  </sheetViews>
  <sheetFormatPr baseColWidth="10" defaultColWidth="9.140625" defaultRowHeight="12.75" x14ac:dyDescent="0.2"/>
  <cols>
    <col min="1" max="1" width="38.42578125" customWidth="1"/>
    <col min="2" max="2" width="8.5703125" style="2" customWidth="1"/>
    <col min="3" max="3" width="13.7109375" customWidth="1"/>
    <col min="4" max="4" width="10.85546875" customWidth="1"/>
    <col min="5" max="5" width="6.5703125" style="2" customWidth="1"/>
    <col min="6" max="30" width="4.42578125" style="2" customWidth="1"/>
    <col min="31" max="256" width="11.42578125" customWidth="1"/>
  </cols>
  <sheetData>
    <row r="1" spans="1:30" ht="18" x14ac:dyDescent="0.25">
      <c r="A1" s="31">
        <v>2</v>
      </c>
      <c r="B1" s="37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</row>
    <row r="2" spans="1:30" x14ac:dyDescent="0.2"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</row>
    <row r="9" spans="1:30" x14ac:dyDescent="0.2">
      <c r="A9" s="18" t="s">
        <v>98</v>
      </c>
      <c r="B9" s="36">
        <v>10</v>
      </c>
      <c r="C9" s="18"/>
      <c r="D9" s="16"/>
      <c r="E9" s="20" t="s">
        <v>99</v>
      </c>
      <c r="F9" s="20" t="s">
        <v>100</v>
      </c>
      <c r="G9" s="20"/>
      <c r="H9" s="20"/>
      <c r="I9" s="20"/>
      <c r="J9" s="20"/>
      <c r="K9" s="20"/>
      <c r="L9" s="20"/>
      <c r="M9" s="21"/>
      <c r="N9" s="21"/>
      <c r="O9" s="21"/>
      <c r="P9" s="21"/>
      <c r="Q9" s="21"/>
      <c r="R9" s="21"/>
      <c r="S9" s="21"/>
      <c r="T9" s="21"/>
      <c r="U9" s="21"/>
      <c r="V9" s="21"/>
      <c r="W9" s="21"/>
      <c r="X9" s="21"/>
      <c r="Y9" s="21"/>
      <c r="Z9" s="21"/>
      <c r="AA9" s="21"/>
      <c r="AB9" s="21"/>
      <c r="AC9" s="21"/>
      <c r="AD9" s="21"/>
    </row>
    <row r="10" spans="1:30" x14ac:dyDescent="0.2">
      <c r="A10" s="18" t="s">
        <v>101</v>
      </c>
      <c r="B10" s="36">
        <v>5</v>
      </c>
      <c r="C10" s="18" t="s">
        <v>3</v>
      </c>
      <c r="D10" s="18" t="s">
        <v>102</v>
      </c>
      <c r="E10" s="17">
        <f ca="1">SUM(OFFSET(E14,1,0,TaskRows,1))</f>
        <v>79.5</v>
      </c>
      <c r="F10" s="17">
        <f ca="1">IF(AND(SUM(OFFSET(F14,1,0,TaskRows,1))=0),0,SUM(OFFSET(F14,1,0,TaskRows,1)))</f>
        <v>72.5</v>
      </c>
      <c r="G10" s="17">
        <f t="shared" ref="G10:AD10" ca="1" si="0">IF(AND(SUM(OFFSET(G14,1,0,TaskRows,1))=0),"",SUM(OFFSET(G14,1,0,TaskRows,1)))</f>
        <v>63.5</v>
      </c>
      <c r="H10" s="17">
        <f t="shared" ca="1" si="0"/>
        <v>58</v>
      </c>
      <c r="I10" s="17">
        <f t="shared" ca="1" si="0"/>
        <v>42.5</v>
      </c>
      <c r="J10" s="17">
        <f t="shared" ca="1" si="0"/>
        <v>35</v>
      </c>
      <c r="K10" s="17">
        <f t="shared" ca="1" si="0"/>
        <v>31.5</v>
      </c>
      <c r="L10" s="17">
        <f t="shared" ca="1" si="0"/>
        <v>16</v>
      </c>
      <c r="M10" s="17">
        <f t="shared" ca="1" si="0"/>
        <v>8</v>
      </c>
      <c r="N10" s="17">
        <f t="shared" ca="1" si="0"/>
        <v>7.5</v>
      </c>
      <c r="O10" s="17">
        <f t="shared" ca="1" si="0"/>
        <v>7</v>
      </c>
      <c r="P10" s="17" t="str">
        <f t="shared" ca="1" si="0"/>
        <v/>
      </c>
      <c r="Q10" s="17" t="str">
        <f t="shared" ca="1" si="0"/>
        <v/>
      </c>
      <c r="R10" s="17" t="str">
        <f t="shared" ca="1" si="0"/>
        <v/>
      </c>
      <c r="S10" s="17" t="str">
        <f t="shared" ca="1" si="0"/>
        <v/>
      </c>
      <c r="T10" s="17" t="str">
        <f t="shared" ca="1" si="0"/>
        <v/>
      </c>
      <c r="U10" s="17" t="str">
        <f t="shared" ca="1" si="0"/>
        <v/>
      </c>
      <c r="V10" s="17" t="str">
        <f t="shared" ca="1" si="0"/>
        <v/>
      </c>
      <c r="W10" s="17" t="str">
        <f t="shared" ca="1" si="0"/>
        <v/>
      </c>
      <c r="X10" s="17" t="str">
        <f t="shared" ca="1" si="0"/>
        <v/>
      </c>
      <c r="Y10" s="17" t="str">
        <f t="shared" ca="1" si="0"/>
        <v/>
      </c>
      <c r="Z10" s="17" t="str">
        <f t="shared" ca="1" si="0"/>
        <v/>
      </c>
      <c r="AA10" s="17" t="str">
        <f t="shared" ca="1" si="0"/>
        <v/>
      </c>
      <c r="AB10" s="17" t="str">
        <f t="shared" ca="1" si="0"/>
        <v/>
      </c>
      <c r="AC10" s="17" t="str">
        <f t="shared" ca="1" si="0"/>
        <v/>
      </c>
      <c r="AD10" s="17" t="str">
        <f t="shared" ca="1" si="0"/>
        <v/>
      </c>
    </row>
    <row r="11" spans="1:30" hidden="1" x14ac:dyDescent="0.2">
      <c r="A11" t="s">
        <v>103</v>
      </c>
      <c r="B11" s="2">
        <f>IF(COUNTA(A15:A277)=0,1,COUNTA(A15:A277))</f>
        <v>53</v>
      </c>
      <c r="C11" t="s">
        <v>104</v>
      </c>
      <c r="D11" s="2">
        <f ca="1">IF(COUNTIF(F10:AD10,"&gt;0")=0,1,COUNTIF(F10:AD10,"&gt;0"))</f>
        <v>10</v>
      </c>
      <c r="F11" s="2">
        <f ca="1">IF(F14="","",$E10-$E10/($B9-1)*(F14-1))</f>
        <v>79.5</v>
      </c>
      <c r="G11" s="2">
        <f t="shared" ref="G11:AD11" ca="1" si="1">IF(G14="","",TotalEffort-TotalEffort/(ImplementationDays)*(G14-1))</f>
        <v>71.55</v>
      </c>
      <c r="H11" s="2">
        <f t="shared" ca="1" si="1"/>
        <v>63.6</v>
      </c>
      <c r="I11" s="2">
        <f t="shared" ca="1" si="1"/>
        <v>55.65</v>
      </c>
      <c r="J11" s="2">
        <f t="shared" ca="1" si="1"/>
        <v>47.7</v>
      </c>
      <c r="K11" s="2">
        <f t="shared" ca="1" si="1"/>
        <v>39.75</v>
      </c>
      <c r="L11" s="2">
        <f t="shared" ca="1" si="1"/>
        <v>31.799999999999997</v>
      </c>
      <c r="M11" s="2">
        <f t="shared" ca="1" si="1"/>
        <v>23.85</v>
      </c>
      <c r="N11" s="2">
        <f t="shared" ca="1" si="1"/>
        <v>15.899999999999999</v>
      </c>
      <c r="O11" s="2">
        <f t="shared" ca="1" si="1"/>
        <v>7.9500000000000028</v>
      </c>
      <c r="P11" s="2" t="str">
        <f t="shared" si="1"/>
        <v/>
      </c>
      <c r="Q11" s="2" t="str">
        <f t="shared" si="1"/>
        <v/>
      </c>
      <c r="R11" s="2" t="str">
        <f t="shared" si="1"/>
        <v/>
      </c>
      <c r="S11" s="2" t="str">
        <f t="shared" si="1"/>
        <v/>
      </c>
      <c r="T11" s="2" t="str">
        <f t="shared" si="1"/>
        <v/>
      </c>
      <c r="U11" s="2" t="str">
        <f t="shared" si="1"/>
        <v/>
      </c>
      <c r="V11" s="2" t="str">
        <f t="shared" si="1"/>
        <v/>
      </c>
      <c r="W11" s="2" t="str">
        <f t="shared" si="1"/>
        <v/>
      </c>
      <c r="X11" s="2" t="str">
        <f t="shared" si="1"/>
        <v/>
      </c>
      <c r="Y11" s="2" t="str">
        <f t="shared" si="1"/>
        <v/>
      </c>
      <c r="Z11" s="2" t="str">
        <f t="shared" si="1"/>
        <v/>
      </c>
      <c r="AA11" s="2" t="str">
        <f t="shared" si="1"/>
        <v/>
      </c>
      <c r="AB11" s="2" t="str">
        <f t="shared" si="1"/>
        <v/>
      </c>
      <c r="AC11" s="2" t="str">
        <f t="shared" si="1"/>
        <v/>
      </c>
      <c r="AD11" s="2" t="str">
        <f t="shared" si="1"/>
        <v/>
      </c>
    </row>
    <row r="12" spans="1:30" hidden="1" x14ac:dyDescent="0.2">
      <c r="A12" s="56" t="s">
        <v>105</v>
      </c>
      <c r="B12"/>
      <c r="C12" t="s">
        <v>68</v>
      </c>
      <c r="D12" s="2"/>
      <c r="F12" s="2">
        <f t="shared" ref="F12:AD12" ca="1" si="2">IF(TREND(OFFSET($F10,0,DoneDays-TrendDays,1,TrendDays),OFFSET($F13,0,DoneDays-TrendDays,1,TrendDays),F13)&lt;0,"",TREND(OFFSET($F10,0,DoneDays-TrendDays,1,TrendDays),OFFSET($F13,0,DoneDays-TrendDays,1,TrendDays),F13))</f>
        <v>54.249999999999993</v>
      </c>
      <c r="G12" s="2">
        <f t="shared" ca="1" si="2"/>
        <v>48.499999999999993</v>
      </c>
      <c r="H12" s="2">
        <f t="shared" ca="1" si="2"/>
        <v>42.75</v>
      </c>
      <c r="I12" s="2">
        <f t="shared" ca="1" si="2"/>
        <v>37</v>
      </c>
      <c r="J12" s="2">
        <f t="shared" ca="1" si="2"/>
        <v>31.249999999999996</v>
      </c>
      <c r="K12" s="2">
        <f t="shared" ca="1" si="2"/>
        <v>25.5</v>
      </c>
      <c r="L12" s="2">
        <f t="shared" ca="1" si="2"/>
        <v>19.75</v>
      </c>
      <c r="M12" s="2">
        <f t="shared" ca="1" si="2"/>
        <v>14</v>
      </c>
      <c r="N12" s="2">
        <f t="shared" ca="1" si="2"/>
        <v>8.25</v>
      </c>
      <c r="O12" s="2">
        <f t="shared" ca="1" si="2"/>
        <v>2.5</v>
      </c>
      <c r="P12" s="2" t="str">
        <f t="shared" ca="1" si="2"/>
        <v/>
      </c>
      <c r="Q12" s="2" t="str">
        <f t="shared" ca="1" si="2"/>
        <v/>
      </c>
      <c r="R12" s="2" t="str">
        <f t="shared" ca="1" si="2"/>
        <v/>
      </c>
      <c r="S12" s="2" t="str">
        <f t="shared" ca="1" si="2"/>
        <v/>
      </c>
      <c r="T12" s="2" t="str">
        <f t="shared" ca="1" si="2"/>
        <v/>
      </c>
      <c r="U12" s="2" t="str">
        <f t="shared" ca="1" si="2"/>
        <v/>
      </c>
      <c r="V12" s="2" t="str">
        <f t="shared" ca="1" si="2"/>
        <v/>
      </c>
      <c r="W12" s="2" t="str">
        <f t="shared" ca="1" si="2"/>
        <v/>
      </c>
      <c r="X12" s="2" t="str">
        <f t="shared" ca="1" si="2"/>
        <v/>
      </c>
      <c r="Y12" s="2" t="str">
        <f t="shared" ca="1" si="2"/>
        <v/>
      </c>
      <c r="Z12" s="2" t="str">
        <f t="shared" ca="1" si="2"/>
        <v/>
      </c>
      <c r="AA12" s="2" t="str">
        <f t="shared" ca="1" si="2"/>
        <v/>
      </c>
      <c r="AB12" s="2" t="str">
        <f t="shared" ca="1" si="2"/>
        <v/>
      </c>
      <c r="AC12" s="2" t="str">
        <f t="shared" ca="1" si="2"/>
        <v/>
      </c>
      <c r="AD12" s="2" t="str">
        <f t="shared" ca="1" si="2"/>
        <v/>
      </c>
    </row>
    <row r="13" spans="1:30" hidden="1" x14ac:dyDescent="0.2">
      <c r="A13" s="56" t="s">
        <v>106</v>
      </c>
      <c r="B13"/>
      <c r="C13" t="s">
        <v>107</v>
      </c>
      <c r="D13" s="2">
        <f ca="1">IF(DoneDays&gt;B10,B10,DoneDays)</f>
        <v>5</v>
      </c>
      <c r="F13" s="2">
        <f ca="1">IF(DoneDays&gt;E13,E13+1,"")</f>
        <v>1</v>
      </c>
      <c r="G13" s="2">
        <v>2</v>
      </c>
      <c r="H13" s="2">
        <v>3</v>
      </c>
      <c r="I13" s="2">
        <v>4</v>
      </c>
      <c r="J13" s="2">
        <v>5</v>
      </c>
      <c r="K13" s="2">
        <v>6</v>
      </c>
      <c r="L13" s="2">
        <v>7</v>
      </c>
      <c r="M13" s="2">
        <v>8</v>
      </c>
      <c r="N13" s="2">
        <v>9</v>
      </c>
      <c r="O13" s="2">
        <v>10</v>
      </c>
      <c r="P13" s="2">
        <v>11</v>
      </c>
      <c r="Q13" s="2">
        <v>12</v>
      </c>
      <c r="R13" s="2">
        <v>13</v>
      </c>
      <c r="S13" s="2">
        <v>14</v>
      </c>
      <c r="T13" s="2">
        <v>15</v>
      </c>
      <c r="U13" s="2">
        <v>16</v>
      </c>
      <c r="V13" s="2">
        <v>17</v>
      </c>
      <c r="W13" s="2">
        <v>18</v>
      </c>
      <c r="X13" s="2">
        <v>19</v>
      </c>
      <c r="Y13" s="2">
        <v>20</v>
      </c>
      <c r="Z13" s="2">
        <v>21</v>
      </c>
      <c r="AA13" s="2">
        <v>22</v>
      </c>
      <c r="AB13" s="2">
        <v>23</v>
      </c>
      <c r="AC13" s="2">
        <v>24</v>
      </c>
      <c r="AD13" s="2">
        <v>25</v>
      </c>
    </row>
    <row r="14" spans="1:30" x14ac:dyDescent="0.2">
      <c r="A14" s="18" t="s">
        <v>108</v>
      </c>
      <c r="B14" s="19" t="s">
        <v>18</v>
      </c>
      <c r="C14" s="18" t="s">
        <v>109</v>
      </c>
      <c r="D14" s="18" t="s">
        <v>6</v>
      </c>
      <c r="E14" s="19" t="s">
        <v>110</v>
      </c>
      <c r="F14" s="19">
        <v>1</v>
      </c>
      <c r="G14" s="19">
        <f t="shared" ref="G14:AD14" si="3">IF($B$9&gt;F14,F14+1,"")</f>
        <v>2</v>
      </c>
      <c r="H14" s="19">
        <f t="shared" si="3"/>
        <v>3</v>
      </c>
      <c r="I14" s="19">
        <f t="shared" si="3"/>
        <v>4</v>
      </c>
      <c r="J14" s="19">
        <f t="shared" si="3"/>
        <v>5</v>
      </c>
      <c r="K14" s="19">
        <f t="shared" si="3"/>
        <v>6</v>
      </c>
      <c r="L14" s="19">
        <f t="shared" si="3"/>
        <v>7</v>
      </c>
      <c r="M14" s="19">
        <f t="shared" si="3"/>
        <v>8</v>
      </c>
      <c r="N14" s="19">
        <f t="shared" si="3"/>
        <v>9</v>
      </c>
      <c r="O14" s="19">
        <f t="shared" si="3"/>
        <v>10</v>
      </c>
      <c r="P14" s="19" t="str">
        <f t="shared" si="3"/>
        <v/>
      </c>
      <c r="Q14" s="19" t="str">
        <f t="shared" si="3"/>
        <v/>
      </c>
      <c r="R14" s="19" t="str">
        <f t="shared" si="3"/>
        <v/>
      </c>
      <c r="S14" s="19" t="str">
        <f t="shared" si="3"/>
        <v/>
      </c>
      <c r="T14" s="19" t="str">
        <f t="shared" si="3"/>
        <v/>
      </c>
      <c r="U14" s="19" t="str">
        <f t="shared" si="3"/>
        <v/>
      </c>
      <c r="V14" s="19" t="str">
        <f t="shared" si="3"/>
        <v/>
      </c>
      <c r="W14" s="19" t="str">
        <f t="shared" si="3"/>
        <v/>
      </c>
      <c r="X14" s="19" t="str">
        <f t="shared" si="3"/>
        <v/>
      </c>
      <c r="Y14" s="19" t="str">
        <f t="shared" si="3"/>
        <v/>
      </c>
      <c r="Z14" s="19" t="str">
        <f t="shared" si="3"/>
        <v/>
      </c>
      <c r="AA14" s="19" t="str">
        <f t="shared" si="3"/>
        <v/>
      </c>
      <c r="AB14" s="19" t="str">
        <f t="shared" si="3"/>
        <v/>
      </c>
      <c r="AC14" s="19" t="str">
        <f t="shared" si="3"/>
        <v/>
      </c>
      <c r="AD14" s="19" t="str">
        <f t="shared" si="3"/>
        <v/>
      </c>
    </row>
    <row r="15" spans="1:30" x14ac:dyDescent="0.2">
      <c r="A15" s="35" t="s">
        <v>129</v>
      </c>
      <c r="B15" s="34">
        <v>5</v>
      </c>
      <c r="C15" t="s">
        <v>130</v>
      </c>
      <c r="D15" s="35" t="s">
        <v>24</v>
      </c>
      <c r="E15" s="34">
        <v>1</v>
      </c>
      <c r="F15" s="34">
        <v>1</v>
      </c>
      <c r="G15" s="34">
        <v>1</v>
      </c>
      <c r="H15" s="34">
        <v>0.5</v>
      </c>
      <c r="I15" s="34">
        <v>0.5</v>
      </c>
      <c r="J15" s="34">
        <v>0.5</v>
      </c>
      <c r="K15" s="2">
        <v>0.5</v>
      </c>
      <c r="L15" s="2">
        <v>0</v>
      </c>
      <c r="M15" s="2">
        <v>0</v>
      </c>
      <c r="N15" s="2">
        <v>0</v>
      </c>
      <c r="O15" s="2">
        <v>0</v>
      </c>
      <c r="AC15" s="2" t="str">
        <f t="shared" ref="AC15:AD61" si="4">IF(OR(AC$14="",$E15=""),"",AB15)</f>
        <v/>
      </c>
      <c r="AD15" s="2" t="str">
        <f t="shared" si="4"/>
        <v/>
      </c>
    </row>
    <row r="16" spans="1:30" x14ac:dyDescent="0.2">
      <c r="A16" s="35" t="s">
        <v>131</v>
      </c>
      <c r="B16" s="34">
        <v>5</v>
      </c>
      <c r="C16" t="s">
        <v>123</v>
      </c>
      <c r="D16" s="35" t="s">
        <v>31</v>
      </c>
      <c r="E16" s="34">
        <v>3</v>
      </c>
      <c r="F16" s="34">
        <v>3</v>
      </c>
      <c r="G16" s="34">
        <v>3</v>
      </c>
      <c r="H16" s="34">
        <v>3</v>
      </c>
      <c r="I16" s="34">
        <v>3</v>
      </c>
      <c r="J16" s="34">
        <v>3</v>
      </c>
      <c r="K16" s="2">
        <v>3</v>
      </c>
      <c r="L16" s="2">
        <v>2</v>
      </c>
      <c r="M16" s="2">
        <v>1</v>
      </c>
      <c r="N16" s="2">
        <v>0.5</v>
      </c>
      <c r="AC16" s="2" t="str">
        <f t="shared" si="4"/>
        <v/>
      </c>
      <c r="AD16" s="2" t="str">
        <f t="shared" si="4"/>
        <v/>
      </c>
    </row>
    <row r="17" spans="1:30" x14ac:dyDescent="0.2">
      <c r="A17" s="35" t="s">
        <v>134</v>
      </c>
      <c r="B17" s="34">
        <v>3</v>
      </c>
      <c r="C17" t="s">
        <v>121</v>
      </c>
      <c r="D17" s="35" t="s">
        <v>24</v>
      </c>
      <c r="E17" s="34">
        <v>1</v>
      </c>
      <c r="F17" s="34">
        <v>1</v>
      </c>
      <c r="G17" s="34">
        <v>1</v>
      </c>
      <c r="H17" s="34">
        <v>1</v>
      </c>
      <c r="I17" s="34">
        <v>1</v>
      </c>
      <c r="J17" s="34">
        <v>1</v>
      </c>
      <c r="K17" s="2">
        <v>1</v>
      </c>
      <c r="L17" s="2">
        <v>0</v>
      </c>
      <c r="M17" s="2">
        <v>0</v>
      </c>
      <c r="N17" s="2">
        <v>0</v>
      </c>
      <c r="O17" s="2">
        <v>0</v>
      </c>
      <c r="AC17" s="2" t="str">
        <f t="shared" si="4"/>
        <v/>
      </c>
      <c r="AD17" s="2" t="str">
        <f t="shared" si="4"/>
        <v/>
      </c>
    </row>
    <row r="18" spans="1:30" x14ac:dyDescent="0.2">
      <c r="A18" s="35" t="s">
        <v>135</v>
      </c>
      <c r="B18" s="34">
        <v>3</v>
      </c>
      <c r="C18" t="s">
        <v>123</v>
      </c>
      <c r="D18" s="35" t="s">
        <v>24</v>
      </c>
      <c r="E18" s="34">
        <v>5</v>
      </c>
      <c r="F18" s="34">
        <v>4</v>
      </c>
      <c r="G18" s="34">
        <v>3</v>
      </c>
      <c r="H18" s="34">
        <v>2</v>
      </c>
      <c r="I18" s="34">
        <v>0</v>
      </c>
      <c r="J18" s="34">
        <v>0</v>
      </c>
      <c r="K18" s="2">
        <v>0</v>
      </c>
      <c r="AC18" s="2" t="str">
        <f t="shared" si="4"/>
        <v/>
      </c>
      <c r="AD18" s="2" t="str">
        <f t="shared" si="4"/>
        <v/>
      </c>
    </row>
    <row r="19" spans="1:30" x14ac:dyDescent="0.2">
      <c r="A19" s="35" t="s">
        <v>146</v>
      </c>
      <c r="B19" s="34">
        <v>3</v>
      </c>
      <c r="C19" t="s">
        <v>132</v>
      </c>
      <c r="D19" s="35" t="s">
        <v>147</v>
      </c>
      <c r="E19" s="34">
        <v>2</v>
      </c>
      <c r="F19" s="34">
        <v>2</v>
      </c>
      <c r="G19" s="34">
        <v>2</v>
      </c>
      <c r="H19" s="34">
        <v>2</v>
      </c>
      <c r="I19" s="34">
        <v>0</v>
      </c>
      <c r="J19" s="34">
        <v>0</v>
      </c>
      <c r="AC19" s="2" t="str">
        <f t="shared" si="4"/>
        <v/>
      </c>
      <c r="AD19" s="2" t="str">
        <f t="shared" si="4"/>
        <v/>
      </c>
    </row>
    <row r="20" spans="1:30" x14ac:dyDescent="0.2">
      <c r="A20" s="35" t="s">
        <v>148</v>
      </c>
      <c r="B20" s="34"/>
      <c r="C20" t="s">
        <v>137</v>
      </c>
      <c r="D20" s="35" t="s">
        <v>147</v>
      </c>
      <c r="E20" s="34">
        <v>1</v>
      </c>
      <c r="F20" s="34">
        <v>0</v>
      </c>
      <c r="G20" s="34">
        <v>0</v>
      </c>
      <c r="H20" s="34">
        <v>0</v>
      </c>
      <c r="I20" s="34">
        <v>0</v>
      </c>
      <c r="J20" s="34">
        <v>0</v>
      </c>
      <c r="AC20" s="2" t="str">
        <f t="shared" si="4"/>
        <v/>
      </c>
      <c r="AD20" s="2" t="str">
        <f t="shared" si="4"/>
        <v/>
      </c>
    </row>
    <row r="21" spans="1:30" x14ac:dyDescent="0.2">
      <c r="A21" s="35" t="s">
        <v>149</v>
      </c>
      <c r="B21" s="34"/>
      <c r="C21" t="s">
        <v>132</v>
      </c>
      <c r="D21" s="35" t="s">
        <v>24</v>
      </c>
      <c r="E21" s="34">
        <v>2</v>
      </c>
      <c r="F21" s="34">
        <v>2</v>
      </c>
      <c r="G21" s="34">
        <v>2</v>
      </c>
      <c r="H21" s="34">
        <v>2</v>
      </c>
      <c r="I21" s="34">
        <v>0.5</v>
      </c>
      <c r="J21" s="34">
        <v>0</v>
      </c>
      <c r="K21" s="2">
        <v>0</v>
      </c>
      <c r="AC21" s="2" t="str">
        <f t="shared" si="4"/>
        <v/>
      </c>
      <c r="AD21" s="2" t="str">
        <f t="shared" si="4"/>
        <v/>
      </c>
    </row>
    <row r="22" spans="1:30" x14ac:dyDescent="0.2">
      <c r="A22" s="35" t="s">
        <v>140</v>
      </c>
      <c r="B22" s="34">
        <v>3</v>
      </c>
      <c r="C22" t="s">
        <v>137</v>
      </c>
      <c r="D22" s="35"/>
      <c r="E22" s="34">
        <v>0</v>
      </c>
      <c r="F22" s="34"/>
      <c r="G22" s="34"/>
      <c r="H22" s="34"/>
      <c r="I22" s="34"/>
      <c r="J22" s="34"/>
      <c r="AC22" s="2" t="str">
        <f t="shared" si="4"/>
        <v/>
      </c>
      <c r="AD22" s="2" t="str">
        <f t="shared" si="4"/>
        <v/>
      </c>
    </row>
    <row r="23" spans="1:30" x14ac:dyDescent="0.2">
      <c r="A23" s="35" t="s">
        <v>150</v>
      </c>
      <c r="B23" s="34">
        <v>3</v>
      </c>
      <c r="C23" t="s">
        <v>137</v>
      </c>
      <c r="D23" s="35" t="s">
        <v>39</v>
      </c>
      <c r="E23" s="34">
        <v>3</v>
      </c>
      <c r="F23" s="34"/>
      <c r="G23" s="34"/>
      <c r="H23" s="34"/>
      <c r="I23" s="34"/>
      <c r="J23" s="34"/>
      <c r="AC23" s="2" t="str">
        <f t="shared" si="4"/>
        <v/>
      </c>
      <c r="AD23" s="2" t="str">
        <f t="shared" si="4"/>
        <v/>
      </c>
    </row>
    <row r="24" spans="1:30" x14ac:dyDescent="0.2">
      <c r="A24" s="35" t="s">
        <v>151</v>
      </c>
      <c r="B24" s="34"/>
      <c r="C24" t="s">
        <v>137</v>
      </c>
      <c r="D24" s="35" t="s">
        <v>39</v>
      </c>
      <c r="E24" s="34">
        <v>2</v>
      </c>
      <c r="F24" s="34"/>
      <c r="G24" s="34"/>
      <c r="H24" s="34"/>
      <c r="I24" s="34"/>
      <c r="J24" s="34"/>
      <c r="AC24" s="2" t="str">
        <f t="shared" si="4"/>
        <v/>
      </c>
      <c r="AD24" s="2" t="str">
        <f t="shared" si="4"/>
        <v/>
      </c>
    </row>
    <row r="25" spans="1:30" x14ac:dyDescent="0.2">
      <c r="A25" s="35" t="s">
        <v>152</v>
      </c>
      <c r="B25" s="34"/>
      <c r="C25" t="s">
        <v>132</v>
      </c>
      <c r="D25" s="35" t="s">
        <v>24</v>
      </c>
      <c r="E25" s="34">
        <v>3</v>
      </c>
      <c r="F25" s="34">
        <v>3</v>
      </c>
      <c r="G25" s="34">
        <v>3</v>
      </c>
      <c r="H25" s="34">
        <v>3</v>
      </c>
      <c r="I25" s="34">
        <v>0</v>
      </c>
      <c r="J25" s="34">
        <v>0</v>
      </c>
      <c r="K25" s="2">
        <v>0</v>
      </c>
      <c r="AC25" s="2" t="str">
        <f t="shared" si="4"/>
        <v/>
      </c>
      <c r="AD25" s="2" t="str">
        <f t="shared" si="4"/>
        <v/>
      </c>
    </row>
    <row r="26" spans="1:30" x14ac:dyDescent="0.2">
      <c r="A26" s="35"/>
      <c r="B26" s="34"/>
      <c r="D26" s="35"/>
      <c r="E26" s="34"/>
      <c r="F26" s="34"/>
      <c r="G26" s="34"/>
      <c r="H26" s="34"/>
      <c r="I26" s="34"/>
      <c r="J26" s="34"/>
    </row>
    <row r="27" spans="1:30" x14ac:dyDescent="0.2">
      <c r="A27" s="35" t="s">
        <v>142</v>
      </c>
      <c r="B27" s="34">
        <v>5</v>
      </c>
      <c r="D27" s="35"/>
      <c r="E27" s="34"/>
      <c r="F27" s="34"/>
      <c r="G27" s="34"/>
      <c r="H27" s="34"/>
      <c r="I27" s="34"/>
      <c r="J27" s="34"/>
      <c r="AC27" s="2" t="str">
        <f t="shared" si="4"/>
        <v/>
      </c>
      <c r="AD27" s="2" t="str">
        <f t="shared" si="4"/>
        <v/>
      </c>
    </row>
    <row r="28" spans="1:30" x14ac:dyDescent="0.2">
      <c r="A28" s="35" t="s">
        <v>153</v>
      </c>
      <c r="B28" s="34">
        <v>5</v>
      </c>
      <c r="C28" t="s">
        <v>154</v>
      </c>
      <c r="D28" s="35" t="s">
        <v>24</v>
      </c>
      <c r="E28" s="34">
        <v>5</v>
      </c>
      <c r="F28" s="34">
        <v>5</v>
      </c>
      <c r="G28" s="34">
        <v>3</v>
      </c>
      <c r="H28" s="34">
        <v>3</v>
      </c>
      <c r="I28" s="34">
        <v>2</v>
      </c>
      <c r="J28" s="34">
        <v>1</v>
      </c>
      <c r="K28" s="2">
        <v>0</v>
      </c>
    </row>
    <row r="29" spans="1:30" x14ac:dyDescent="0.2">
      <c r="A29" s="35" t="s">
        <v>155</v>
      </c>
      <c r="B29" s="34">
        <v>5</v>
      </c>
      <c r="C29" t="s">
        <v>132</v>
      </c>
      <c r="D29" s="35" t="s">
        <v>24</v>
      </c>
      <c r="E29" s="34">
        <v>5</v>
      </c>
      <c r="F29" s="34">
        <v>5</v>
      </c>
      <c r="G29" s="34">
        <v>5</v>
      </c>
      <c r="H29" s="34">
        <v>5</v>
      </c>
      <c r="I29" s="34">
        <v>5</v>
      </c>
      <c r="J29" s="34">
        <v>4</v>
      </c>
      <c r="K29" s="2">
        <v>3</v>
      </c>
      <c r="L29" s="2">
        <v>2</v>
      </c>
      <c r="M29" s="2">
        <v>0</v>
      </c>
      <c r="N29" s="2">
        <v>0</v>
      </c>
      <c r="O29" s="2">
        <v>0</v>
      </c>
    </row>
    <row r="30" spans="1:30" x14ac:dyDescent="0.2">
      <c r="A30" s="35" t="s">
        <v>180</v>
      </c>
      <c r="B30" s="34">
        <v>5</v>
      </c>
      <c r="C30" t="s">
        <v>125</v>
      </c>
      <c r="D30" s="35" t="s">
        <v>24</v>
      </c>
      <c r="E30" s="34">
        <v>3</v>
      </c>
      <c r="F30" s="34">
        <v>3</v>
      </c>
      <c r="G30" s="34">
        <v>1</v>
      </c>
      <c r="H30" s="34">
        <v>1</v>
      </c>
      <c r="I30" s="34">
        <v>1</v>
      </c>
      <c r="J30" s="34">
        <v>1</v>
      </c>
      <c r="K30" s="2">
        <v>1</v>
      </c>
      <c r="L30" s="2">
        <v>0</v>
      </c>
      <c r="M30" s="2">
        <v>0</v>
      </c>
      <c r="N30" s="2">
        <v>0</v>
      </c>
      <c r="O30" s="2">
        <v>0</v>
      </c>
    </row>
    <row r="31" spans="1:30" x14ac:dyDescent="0.2">
      <c r="A31" s="35" t="s">
        <v>156</v>
      </c>
      <c r="B31" s="34">
        <v>5</v>
      </c>
      <c r="C31" t="s">
        <v>125</v>
      </c>
      <c r="D31" s="35" t="s">
        <v>24</v>
      </c>
      <c r="E31" s="34">
        <v>1</v>
      </c>
      <c r="F31" s="34">
        <v>1</v>
      </c>
      <c r="G31" s="34">
        <v>0</v>
      </c>
      <c r="H31" s="34">
        <v>0</v>
      </c>
      <c r="I31" s="34">
        <v>0</v>
      </c>
      <c r="J31" s="34">
        <v>0</v>
      </c>
      <c r="K31" s="2">
        <v>0</v>
      </c>
      <c r="L31" s="2">
        <v>0</v>
      </c>
      <c r="M31" s="2">
        <v>0</v>
      </c>
      <c r="N31" s="2">
        <v>0</v>
      </c>
      <c r="O31" s="2">
        <v>0</v>
      </c>
    </row>
    <row r="32" spans="1:30" x14ac:dyDescent="0.2">
      <c r="A32" s="35" t="s">
        <v>157</v>
      </c>
      <c r="B32" s="34">
        <v>6</v>
      </c>
      <c r="C32" t="s">
        <v>125</v>
      </c>
      <c r="D32" s="35" t="s">
        <v>31</v>
      </c>
      <c r="E32" s="34">
        <v>2</v>
      </c>
      <c r="F32" s="34">
        <v>2</v>
      </c>
      <c r="G32" s="34">
        <v>1</v>
      </c>
      <c r="H32" s="34">
        <v>1</v>
      </c>
      <c r="I32" s="34">
        <v>1</v>
      </c>
      <c r="J32" s="34">
        <v>1</v>
      </c>
      <c r="K32" s="2">
        <v>1</v>
      </c>
    </row>
    <row r="33" spans="1:30" x14ac:dyDescent="0.2">
      <c r="A33" s="35" t="s">
        <v>191</v>
      </c>
      <c r="B33" s="34">
        <v>5</v>
      </c>
      <c r="D33" s="35" t="s">
        <v>39</v>
      </c>
      <c r="E33" s="34"/>
      <c r="F33" s="34"/>
      <c r="G33" s="34"/>
      <c r="H33" s="34"/>
      <c r="I33" s="34"/>
      <c r="J33" s="34"/>
    </row>
    <row r="34" spans="1:30" x14ac:dyDescent="0.2">
      <c r="A34" s="35"/>
      <c r="B34" s="34"/>
      <c r="D34" s="35"/>
      <c r="E34" s="34"/>
      <c r="F34" s="34"/>
      <c r="G34" s="34"/>
      <c r="H34" s="34"/>
      <c r="I34" s="34"/>
      <c r="J34" s="34"/>
    </row>
    <row r="35" spans="1:30" x14ac:dyDescent="0.2">
      <c r="A35" s="35" t="s">
        <v>158</v>
      </c>
      <c r="B35" s="34">
        <v>6</v>
      </c>
      <c r="D35" s="35"/>
      <c r="E35" s="34"/>
      <c r="F35" s="34"/>
      <c r="G35" s="34"/>
      <c r="H35" s="34"/>
      <c r="I35" s="34"/>
      <c r="J35" s="34"/>
    </row>
    <row r="36" spans="1:30" x14ac:dyDescent="0.2">
      <c r="A36" s="35" t="s">
        <v>159</v>
      </c>
      <c r="B36" s="34">
        <v>6</v>
      </c>
      <c r="C36" t="s">
        <v>154</v>
      </c>
      <c r="D36" s="35" t="s">
        <v>31</v>
      </c>
      <c r="E36" s="34">
        <v>5</v>
      </c>
      <c r="F36" s="34">
        <v>5</v>
      </c>
      <c r="G36" s="34">
        <v>5</v>
      </c>
      <c r="H36" s="34">
        <v>5</v>
      </c>
      <c r="I36" s="34">
        <v>5</v>
      </c>
      <c r="J36" s="34">
        <v>5</v>
      </c>
      <c r="K36" s="2">
        <v>10</v>
      </c>
      <c r="L36" s="2">
        <v>6</v>
      </c>
      <c r="M36" s="2">
        <v>3</v>
      </c>
      <c r="N36" s="2">
        <v>3</v>
      </c>
      <c r="O36" s="2">
        <v>3</v>
      </c>
    </row>
    <row r="37" spans="1:30" x14ac:dyDescent="0.2">
      <c r="A37" s="35" t="s">
        <v>160</v>
      </c>
      <c r="B37" s="34">
        <v>6</v>
      </c>
      <c r="C37" t="s">
        <v>154</v>
      </c>
      <c r="D37" s="35" t="s">
        <v>31</v>
      </c>
      <c r="E37" s="34">
        <v>2</v>
      </c>
      <c r="F37" s="34">
        <v>2</v>
      </c>
      <c r="G37" s="34">
        <v>2</v>
      </c>
      <c r="H37" s="34">
        <v>2</v>
      </c>
      <c r="I37" s="34">
        <v>2</v>
      </c>
      <c r="J37" s="34">
        <v>2</v>
      </c>
      <c r="K37" s="2">
        <v>2</v>
      </c>
      <c r="L37" s="2">
        <v>2</v>
      </c>
      <c r="M37" s="2">
        <v>2</v>
      </c>
      <c r="N37" s="2">
        <v>2</v>
      </c>
      <c r="O37" s="2">
        <v>2</v>
      </c>
    </row>
    <row r="38" spans="1:30" x14ac:dyDescent="0.2">
      <c r="A38" s="35"/>
      <c r="B38" s="34"/>
      <c r="D38" s="35"/>
      <c r="E38" s="34"/>
      <c r="F38" s="34"/>
      <c r="G38" s="34"/>
      <c r="H38" s="34"/>
      <c r="I38" s="34"/>
      <c r="J38" s="34"/>
    </row>
    <row r="39" spans="1:30" x14ac:dyDescent="0.2">
      <c r="A39" s="35" t="s">
        <v>161</v>
      </c>
      <c r="B39" s="34">
        <v>5</v>
      </c>
      <c r="C39" t="s">
        <v>137</v>
      </c>
      <c r="D39" s="35" t="s">
        <v>24</v>
      </c>
      <c r="E39" s="34">
        <v>2</v>
      </c>
      <c r="F39" s="34">
        <v>2</v>
      </c>
      <c r="G39" s="34">
        <v>1</v>
      </c>
      <c r="H39" s="34">
        <v>0</v>
      </c>
      <c r="I39" s="34">
        <v>0</v>
      </c>
      <c r="J39" s="34">
        <v>0</v>
      </c>
      <c r="K39" s="2">
        <v>0</v>
      </c>
      <c r="L39" s="2">
        <v>0</v>
      </c>
      <c r="M39" s="2">
        <v>0</v>
      </c>
      <c r="N39" s="2">
        <v>0</v>
      </c>
      <c r="O39" s="2">
        <v>0</v>
      </c>
    </row>
    <row r="40" spans="1:30" x14ac:dyDescent="0.2">
      <c r="A40" s="35" t="s">
        <v>162</v>
      </c>
      <c r="B40" s="34">
        <v>5</v>
      </c>
      <c r="C40" t="s">
        <v>137</v>
      </c>
      <c r="D40" s="35" t="s">
        <v>147</v>
      </c>
      <c r="E40" s="34">
        <v>1</v>
      </c>
      <c r="F40" s="34">
        <v>1</v>
      </c>
      <c r="G40" s="34">
        <v>1</v>
      </c>
      <c r="H40" s="34">
        <v>0</v>
      </c>
      <c r="I40" s="34">
        <v>0</v>
      </c>
      <c r="J40" s="34">
        <v>0</v>
      </c>
      <c r="K40" s="2">
        <v>0</v>
      </c>
      <c r="L40" s="2">
        <v>0</v>
      </c>
      <c r="M40" s="2">
        <v>0</v>
      </c>
      <c r="N40" s="2">
        <v>0</v>
      </c>
      <c r="O40" s="2">
        <v>0</v>
      </c>
    </row>
    <row r="41" spans="1:30" x14ac:dyDescent="0.2">
      <c r="A41" s="35" t="s">
        <v>163</v>
      </c>
      <c r="B41" s="34">
        <v>5</v>
      </c>
      <c r="C41" t="s">
        <v>137</v>
      </c>
      <c r="D41" s="35" t="s">
        <v>24</v>
      </c>
      <c r="E41" s="34">
        <v>1</v>
      </c>
      <c r="F41" s="34">
        <v>1</v>
      </c>
      <c r="G41" s="34">
        <v>0</v>
      </c>
      <c r="H41" s="34">
        <v>0</v>
      </c>
      <c r="I41" s="34">
        <v>0</v>
      </c>
      <c r="J41" s="34">
        <v>0</v>
      </c>
      <c r="K41" s="2">
        <v>0</v>
      </c>
      <c r="L41" s="2">
        <v>0</v>
      </c>
      <c r="M41" s="2">
        <v>0</v>
      </c>
      <c r="N41" s="2">
        <v>0</v>
      </c>
      <c r="O41" s="2">
        <v>0</v>
      </c>
    </row>
    <row r="42" spans="1:30" x14ac:dyDescent="0.2">
      <c r="A42" s="35" t="s">
        <v>143</v>
      </c>
      <c r="B42" s="34">
        <v>5</v>
      </c>
      <c r="C42" t="s">
        <v>137</v>
      </c>
      <c r="D42" s="35" t="s">
        <v>24</v>
      </c>
      <c r="E42" s="34">
        <v>3</v>
      </c>
      <c r="F42" s="34">
        <v>3</v>
      </c>
      <c r="G42" s="34">
        <v>3</v>
      </c>
      <c r="H42" s="34">
        <v>2</v>
      </c>
      <c r="I42" s="34">
        <v>1</v>
      </c>
      <c r="J42" s="34">
        <v>0</v>
      </c>
      <c r="K42" s="2">
        <v>0</v>
      </c>
      <c r="L42" s="2">
        <v>0</v>
      </c>
      <c r="M42" s="2">
        <v>0</v>
      </c>
      <c r="N42" s="2">
        <v>0</v>
      </c>
      <c r="O42" s="2">
        <v>0</v>
      </c>
      <c r="AC42" s="2" t="str">
        <f t="shared" si="4"/>
        <v/>
      </c>
      <c r="AD42" s="2" t="str">
        <f t="shared" si="4"/>
        <v/>
      </c>
    </row>
    <row r="43" spans="1:30" x14ac:dyDescent="0.2">
      <c r="A43" s="35" t="s">
        <v>144</v>
      </c>
      <c r="B43" s="34">
        <v>7</v>
      </c>
      <c r="C43" t="s">
        <v>125</v>
      </c>
      <c r="D43" s="35" t="s">
        <v>24</v>
      </c>
      <c r="E43" s="34">
        <v>1</v>
      </c>
      <c r="F43" s="34">
        <v>1</v>
      </c>
      <c r="G43" s="34">
        <v>1</v>
      </c>
      <c r="H43" s="34">
        <v>1</v>
      </c>
      <c r="I43" s="34">
        <v>0</v>
      </c>
      <c r="J43" s="34">
        <v>0</v>
      </c>
      <c r="K43" s="2">
        <v>0</v>
      </c>
      <c r="L43" s="2">
        <v>0</v>
      </c>
      <c r="M43" s="2">
        <v>0</v>
      </c>
      <c r="N43" s="2">
        <v>0</v>
      </c>
      <c r="O43" s="2">
        <v>0</v>
      </c>
      <c r="AC43" s="2" t="str">
        <f t="shared" si="4"/>
        <v/>
      </c>
      <c r="AD43" s="2" t="str">
        <f t="shared" si="4"/>
        <v/>
      </c>
    </row>
    <row r="44" spans="1:30" x14ac:dyDescent="0.2">
      <c r="A44" s="35" t="s">
        <v>164</v>
      </c>
      <c r="B44" s="2">
        <v>7</v>
      </c>
      <c r="C44" t="s">
        <v>137</v>
      </c>
      <c r="D44" s="35" t="s">
        <v>24</v>
      </c>
      <c r="E44" s="2">
        <v>3</v>
      </c>
      <c r="F44" s="2">
        <v>3</v>
      </c>
      <c r="G44" s="2">
        <v>3</v>
      </c>
      <c r="H44" s="2">
        <v>2</v>
      </c>
      <c r="I44" s="2">
        <v>1</v>
      </c>
      <c r="J44" s="34">
        <v>0</v>
      </c>
      <c r="K44" s="2">
        <v>0</v>
      </c>
      <c r="L44" s="2">
        <v>0</v>
      </c>
      <c r="M44" s="2">
        <v>0</v>
      </c>
      <c r="N44" s="2">
        <v>0</v>
      </c>
      <c r="O44" s="2">
        <v>0</v>
      </c>
      <c r="AC44" s="2" t="str">
        <f t="shared" si="4"/>
        <v/>
      </c>
      <c r="AD44" s="2" t="str">
        <f t="shared" si="4"/>
        <v/>
      </c>
    </row>
    <row r="45" spans="1:30" x14ac:dyDescent="0.2">
      <c r="A45" s="35" t="s">
        <v>165</v>
      </c>
      <c r="C45" t="s">
        <v>137</v>
      </c>
      <c r="D45" t="s">
        <v>31</v>
      </c>
      <c r="E45" s="2">
        <v>1</v>
      </c>
      <c r="F45" s="2">
        <f t="shared" ref="F45:F64" si="5">IF(OR(F$14="",$E45=""),"",E45)</f>
        <v>1</v>
      </c>
      <c r="G45" s="2">
        <v>1</v>
      </c>
      <c r="H45" s="2">
        <v>1</v>
      </c>
      <c r="I45" s="2">
        <v>1</v>
      </c>
      <c r="J45" s="2">
        <v>1</v>
      </c>
      <c r="K45" s="2">
        <v>1</v>
      </c>
      <c r="L45" s="2">
        <v>1</v>
      </c>
      <c r="M45" s="2">
        <v>1</v>
      </c>
      <c r="N45" s="2">
        <v>1</v>
      </c>
      <c r="O45" s="2">
        <v>1</v>
      </c>
      <c r="AC45" s="2" t="str">
        <f t="shared" si="4"/>
        <v/>
      </c>
      <c r="AD45" s="2" t="str">
        <f t="shared" si="4"/>
        <v/>
      </c>
    </row>
    <row r="46" spans="1:30" x14ac:dyDescent="0.2">
      <c r="A46" s="35"/>
    </row>
    <row r="47" spans="1:30" x14ac:dyDescent="0.2">
      <c r="A47" s="35" t="s">
        <v>166</v>
      </c>
      <c r="B47" s="2">
        <v>8</v>
      </c>
    </row>
    <row r="48" spans="1:30" x14ac:dyDescent="0.2">
      <c r="A48" s="35" t="s">
        <v>167</v>
      </c>
      <c r="B48" s="2">
        <v>8</v>
      </c>
      <c r="C48" t="s">
        <v>137</v>
      </c>
      <c r="D48" t="s">
        <v>24</v>
      </c>
      <c r="E48" s="2">
        <v>0.5</v>
      </c>
      <c r="F48" s="2">
        <v>0.5</v>
      </c>
      <c r="G48" s="2">
        <v>0.5</v>
      </c>
      <c r="H48" s="2">
        <v>0.5</v>
      </c>
      <c r="I48" s="2">
        <v>0.5</v>
      </c>
      <c r="J48" s="2">
        <v>0.5</v>
      </c>
      <c r="K48" s="2">
        <v>0</v>
      </c>
      <c r="L48" s="2">
        <v>0</v>
      </c>
      <c r="M48" s="2">
        <v>0</v>
      </c>
      <c r="N48" s="2">
        <v>0</v>
      </c>
      <c r="O48" s="2">
        <v>0</v>
      </c>
    </row>
    <row r="49" spans="1:30" x14ac:dyDescent="0.2">
      <c r="A49" s="35" t="s">
        <v>168</v>
      </c>
      <c r="B49" s="2">
        <v>8</v>
      </c>
      <c r="C49" t="s">
        <v>137</v>
      </c>
      <c r="D49" t="s">
        <v>24</v>
      </c>
      <c r="E49" s="2">
        <v>1</v>
      </c>
      <c r="F49" s="2">
        <v>1</v>
      </c>
      <c r="G49" s="2">
        <v>1</v>
      </c>
      <c r="H49" s="2">
        <v>1</v>
      </c>
      <c r="I49" s="2">
        <v>1</v>
      </c>
      <c r="J49" s="2">
        <v>1</v>
      </c>
      <c r="K49" s="2">
        <v>0</v>
      </c>
      <c r="L49" s="2">
        <v>0</v>
      </c>
      <c r="M49" s="2">
        <v>0</v>
      </c>
      <c r="N49" s="2">
        <v>0</v>
      </c>
      <c r="O49" s="2">
        <v>0</v>
      </c>
    </row>
    <row r="50" spans="1:30" x14ac:dyDescent="0.2">
      <c r="A50" s="35" t="s">
        <v>169</v>
      </c>
      <c r="B50" s="2">
        <v>8</v>
      </c>
      <c r="C50" t="s">
        <v>137</v>
      </c>
      <c r="D50" t="s">
        <v>24</v>
      </c>
      <c r="E50" s="2">
        <v>2</v>
      </c>
      <c r="F50" s="2">
        <v>2</v>
      </c>
      <c r="G50" s="2">
        <v>2</v>
      </c>
      <c r="H50" s="2">
        <v>2</v>
      </c>
      <c r="I50" s="2">
        <v>2</v>
      </c>
      <c r="J50" s="2">
        <v>2</v>
      </c>
      <c r="K50" s="2">
        <v>0</v>
      </c>
      <c r="L50" s="2">
        <v>0</v>
      </c>
      <c r="M50" s="2">
        <v>0</v>
      </c>
      <c r="N50" s="2">
        <v>0</v>
      </c>
      <c r="O50" s="2">
        <v>0</v>
      </c>
    </row>
    <row r="51" spans="1:30" x14ac:dyDescent="0.2">
      <c r="A51" s="35"/>
    </row>
    <row r="52" spans="1:30" x14ac:dyDescent="0.2">
      <c r="A52" s="35" t="s">
        <v>170</v>
      </c>
      <c r="B52" s="85">
        <v>8</v>
      </c>
      <c r="C52" t="s">
        <v>137</v>
      </c>
      <c r="D52" t="s">
        <v>24</v>
      </c>
      <c r="E52" s="2">
        <v>4</v>
      </c>
      <c r="F52" s="2">
        <v>4</v>
      </c>
      <c r="G52" s="2">
        <v>4</v>
      </c>
      <c r="H52" s="2">
        <v>4</v>
      </c>
      <c r="I52" s="2">
        <v>3</v>
      </c>
      <c r="J52" s="2">
        <v>1</v>
      </c>
      <c r="K52" s="2">
        <v>0</v>
      </c>
      <c r="L52" s="2">
        <v>0</v>
      </c>
      <c r="M52" s="2">
        <v>0</v>
      </c>
      <c r="N52" s="2">
        <v>0</v>
      </c>
      <c r="O52" s="2">
        <v>0</v>
      </c>
    </row>
    <row r="53" spans="1:30" x14ac:dyDescent="0.2">
      <c r="A53" s="35" t="s">
        <v>171</v>
      </c>
      <c r="B53" s="2">
        <v>8</v>
      </c>
      <c r="C53" t="s">
        <v>137</v>
      </c>
      <c r="D53" t="s">
        <v>24</v>
      </c>
      <c r="E53" s="2">
        <v>2</v>
      </c>
      <c r="F53" s="2">
        <v>2</v>
      </c>
      <c r="G53" s="2">
        <v>2</v>
      </c>
      <c r="H53" s="2">
        <v>2</v>
      </c>
      <c r="I53" s="2">
        <v>1</v>
      </c>
      <c r="J53" s="2">
        <v>0</v>
      </c>
      <c r="K53" s="2">
        <v>0</v>
      </c>
      <c r="L53" s="2">
        <v>0</v>
      </c>
      <c r="M53" s="2">
        <v>0</v>
      </c>
      <c r="N53" s="2">
        <v>0</v>
      </c>
      <c r="O53" s="2">
        <v>0</v>
      </c>
    </row>
    <row r="54" spans="1:30" x14ac:dyDescent="0.2">
      <c r="A54" s="35" t="s">
        <v>172</v>
      </c>
      <c r="B54" s="2">
        <v>8</v>
      </c>
      <c r="C54" t="s">
        <v>137</v>
      </c>
      <c r="D54" t="s">
        <v>24</v>
      </c>
      <c r="E54" s="2">
        <v>1</v>
      </c>
      <c r="F54" s="2">
        <v>1</v>
      </c>
      <c r="G54" s="2">
        <v>1</v>
      </c>
      <c r="H54" s="2">
        <v>1</v>
      </c>
      <c r="I54" s="2">
        <v>0</v>
      </c>
      <c r="J54" s="2">
        <v>0</v>
      </c>
      <c r="K54" s="2">
        <v>0</v>
      </c>
      <c r="L54" s="2">
        <v>0</v>
      </c>
      <c r="M54" s="2">
        <v>0</v>
      </c>
      <c r="N54" s="2">
        <v>0</v>
      </c>
      <c r="O54" s="2">
        <v>0</v>
      </c>
    </row>
    <row r="55" spans="1:30" x14ac:dyDescent="0.2">
      <c r="A55" s="35" t="s">
        <v>181</v>
      </c>
      <c r="B55" s="2">
        <v>8</v>
      </c>
      <c r="C55" t="s">
        <v>132</v>
      </c>
      <c r="D55" t="s">
        <v>31</v>
      </c>
      <c r="E55" s="2">
        <v>2</v>
      </c>
      <c r="F55" s="2">
        <v>2</v>
      </c>
      <c r="G55" s="2">
        <v>2</v>
      </c>
      <c r="H55" s="2">
        <v>2</v>
      </c>
      <c r="I55" s="2">
        <v>2</v>
      </c>
      <c r="J55" s="2">
        <v>2</v>
      </c>
      <c r="K55" s="2">
        <v>1</v>
      </c>
    </row>
    <row r="56" spans="1:30" x14ac:dyDescent="0.2">
      <c r="D56" t="str">
        <f t="shared" ref="D56" si="6">IF(A56&lt;&gt;"","Planned","")</f>
        <v/>
      </c>
      <c r="F56" s="2" t="str">
        <f t="shared" si="5"/>
        <v/>
      </c>
      <c r="AC56" s="2" t="str">
        <f t="shared" si="4"/>
        <v/>
      </c>
      <c r="AD56" s="2" t="str">
        <f t="shared" si="4"/>
        <v/>
      </c>
    </row>
    <row r="57" spans="1:30" x14ac:dyDescent="0.2">
      <c r="A57" t="s">
        <v>173</v>
      </c>
      <c r="F57" s="2" t="str">
        <f t="shared" si="5"/>
        <v/>
      </c>
      <c r="AC57" s="2" t="str">
        <f t="shared" si="4"/>
        <v/>
      </c>
      <c r="AD57" s="2" t="str">
        <f t="shared" si="4"/>
        <v/>
      </c>
    </row>
    <row r="58" spans="1:30" x14ac:dyDescent="0.2">
      <c r="A58" t="s">
        <v>174</v>
      </c>
      <c r="C58" t="s">
        <v>137</v>
      </c>
      <c r="D58" t="s">
        <v>24</v>
      </c>
      <c r="E58" s="2">
        <v>1</v>
      </c>
      <c r="F58" s="2">
        <f t="shared" si="5"/>
        <v>1</v>
      </c>
      <c r="G58" s="2">
        <v>1</v>
      </c>
      <c r="H58" s="2">
        <v>1</v>
      </c>
      <c r="I58" s="2">
        <v>1</v>
      </c>
      <c r="J58" s="2">
        <v>1</v>
      </c>
      <c r="K58" s="2">
        <v>1</v>
      </c>
      <c r="L58" s="2">
        <v>0</v>
      </c>
      <c r="M58" s="2">
        <v>0</v>
      </c>
      <c r="N58" s="2">
        <v>0</v>
      </c>
      <c r="O58" s="2">
        <v>0</v>
      </c>
      <c r="AC58" s="2" t="str">
        <f t="shared" si="4"/>
        <v/>
      </c>
      <c r="AD58" s="2" t="str">
        <f t="shared" si="4"/>
        <v/>
      </c>
    </row>
    <row r="59" spans="1:30" x14ac:dyDescent="0.2">
      <c r="A59" t="s">
        <v>175</v>
      </c>
      <c r="C59" t="s">
        <v>137</v>
      </c>
      <c r="D59" t="s">
        <v>24</v>
      </c>
      <c r="E59" s="2">
        <v>1</v>
      </c>
      <c r="F59" s="2">
        <f t="shared" si="5"/>
        <v>1</v>
      </c>
      <c r="G59" s="2">
        <f t="shared" ref="G59:AB59" si="7">IF(OR(G$14="",$E59=""),"",F59)</f>
        <v>1</v>
      </c>
      <c r="H59" s="2">
        <f t="shared" si="7"/>
        <v>1</v>
      </c>
      <c r="I59" s="2">
        <f t="shared" si="7"/>
        <v>1</v>
      </c>
      <c r="J59" s="2">
        <f t="shared" si="7"/>
        <v>1</v>
      </c>
      <c r="K59" s="2">
        <f t="shared" si="7"/>
        <v>1</v>
      </c>
      <c r="L59" s="2">
        <v>0</v>
      </c>
      <c r="M59" s="2">
        <f t="shared" si="7"/>
        <v>0</v>
      </c>
      <c r="N59" s="2">
        <f t="shared" si="7"/>
        <v>0</v>
      </c>
      <c r="O59" s="2">
        <f t="shared" si="7"/>
        <v>0</v>
      </c>
      <c r="P59" s="2" t="str">
        <f t="shared" si="7"/>
        <v/>
      </c>
      <c r="Q59" s="2" t="str">
        <f t="shared" si="7"/>
        <v/>
      </c>
      <c r="R59" s="2" t="str">
        <f t="shared" si="7"/>
        <v/>
      </c>
      <c r="S59" s="2" t="str">
        <f t="shared" si="7"/>
        <v/>
      </c>
      <c r="T59" s="2" t="str">
        <f t="shared" si="7"/>
        <v/>
      </c>
      <c r="U59" s="2" t="str">
        <f t="shared" si="7"/>
        <v/>
      </c>
      <c r="V59" s="2" t="str">
        <f t="shared" si="7"/>
        <v/>
      </c>
      <c r="W59" s="2" t="str">
        <f t="shared" si="7"/>
        <v/>
      </c>
      <c r="X59" s="2" t="str">
        <f t="shared" si="7"/>
        <v/>
      </c>
      <c r="Y59" s="2" t="str">
        <f t="shared" si="7"/>
        <v/>
      </c>
      <c r="Z59" s="2" t="str">
        <f t="shared" si="7"/>
        <v/>
      </c>
      <c r="AA59" s="2" t="str">
        <f t="shared" si="7"/>
        <v/>
      </c>
      <c r="AB59" s="2" t="str">
        <f t="shared" si="7"/>
        <v/>
      </c>
      <c r="AC59" s="2" t="str">
        <f t="shared" si="4"/>
        <v/>
      </c>
      <c r="AD59" s="2" t="str">
        <f t="shared" si="4"/>
        <v/>
      </c>
    </row>
    <row r="61" spans="1:30" x14ac:dyDescent="0.2">
      <c r="A61" t="s">
        <v>176</v>
      </c>
      <c r="C61" t="s">
        <v>137</v>
      </c>
      <c r="D61" t="s">
        <v>31</v>
      </c>
      <c r="E61" s="2">
        <v>1</v>
      </c>
      <c r="F61" s="2">
        <f t="shared" si="5"/>
        <v>1</v>
      </c>
      <c r="G61" s="2">
        <f t="shared" ref="G61:AB61" si="8">IF(OR(G$14="",$E61=""),"",F61)</f>
        <v>1</v>
      </c>
      <c r="H61" s="2">
        <f t="shared" si="8"/>
        <v>1</v>
      </c>
      <c r="I61" s="2">
        <f t="shared" si="8"/>
        <v>1</v>
      </c>
      <c r="J61" s="2">
        <f t="shared" si="8"/>
        <v>1</v>
      </c>
      <c r="K61" s="2">
        <f t="shared" si="8"/>
        <v>1</v>
      </c>
      <c r="L61" s="2">
        <f t="shared" si="8"/>
        <v>1</v>
      </c>
      <c r="M61" s="2">
        <f t="shared" si="8"/>
        <v>1</v>
      </c>
      <c r="N61" s="2">
        <f t="shared" si="8"/>
        <v>1</v>
      </c>
      <c r="O61" s="2">
        <f t="shared" si="8"/>
        <v>1</v>
      </c>
      <c r="P61" s="2" t="str">
        <f t="shared" si="8"/>
        <v/>
      </c>
      <c r="Q61" s="2" t="str">
        <f t="shared" si="8"/>
        <v/>
      </c>
      <c r="R61" s="2" t="str">
        <f t="shared" si="8"/>
        <v/>
      </c>
      <c r="S61" s="2" t="str">
        <f t="shared" si="8"/>
        <v/>
      </c>
      <c r="T61" s="2" t="str">
        <f t="shared" si="8"/>
        <v/>
      </c>
      <c r="U61" s="2" t="str">
        <f t="shared" si="8"/>
        <v/>
      </c>
      <c r="V61" s="2" t="str">
        <f t="shared" si="8"/>
        <v/>
      </c>
      <c r="W61" s="2" t="str">
        <f t="shared" si="8"/>
        <v/>
      </c>
      <c r="X61" s="2" t="str">
        <f t="shared" si="8"/>
        <v/>
      </c>
      <c r="Y61" s="2" t="str">
        <f t="shared" si="8"/>
        <v/>
      </c>
      <c r="Z61" s="2" t="str">
        <f t="shared" si="8"/>
        <v/>
      </c>
      <c r="AA61" s="2" t="str">
        <f t="shared" si="8"/>
        <v/>
      </c>
      <c r="AB61" s="2" t="str">
        <f t="shared" si="8"/>
        <v/>
      </c>
      <c r="AC61" s="2" t="str">
        <f t="shared" si="4"/>
        <v/>
      </c>
      <c r="AD61" s="2" t="str">
        <f t="shared" si="4"/>
        <v/>
      </c>
    </row>
    <row r="63" spans="1:30" x14ac:dyDescent="0.2">
      <c r="A63" t="s">
        <v>177</v>
      </c>
      <c r="F63" s="2" t="str">
        <f t="shared" si="5"/>
        <v/>
      </c>
    </row>
    <row r="64" spans="1:30" x14ac:dyDescent="0.2">
      <c r="A64" t="s">
        <v>178</v>
      </c>
      <c r="C64" t="s">
        <v>137</v>
      </c>
      <c r="D64" t="s">
        <v>24</v>
      </c>
      <c r="E64" s="2">
        <v>4</v>
      </c>
      <c r="F64" s="2">
        <f t="shared" si="5"/>
        <v>4</v>
      </c>
      <c r="G64" s="2">
        <v>4</v>
      </c>
      <c r="H64" s="2">
        <v>4</v>
      </c>
      <c r="I64" s="2">
        <v>4</v>
      </c>
      <c r="J64" s="2">
        <v>4</v>
      </c>
      <c r="K64" s="2">
        <v>3</v>
      </c>
      <c r="L64" s="2">
        <v>0</v>
      </c>
      <c r="M64" s="2">
        <v>0</v>
      </c>
      <c r="N64" s="2">
        <v>0</v>
      </c>
      <c r="O64" s="2">
        <v>0</v>
      </c>
      <c r="AC64" s="2" t="str">
        <f t="shared" ref="AC64:AD94" si="9">IF(OR(AC$14="",$E64=""),"",AB64)</f>
        <v/>
      </c>
      <c r="AD64" s="2" t="str">
        <f t="shared" si="9"/>
        <v/>
      </c>
    </row>
    <row r="65" spans="1:30" x14ac:dyDescent="0.2">
      <c r="A65" t="s">
        <v>179</v>
      </c>
      <c r="C65" t="s">
        <v>137</v>
      </c>
      <c r="D65" t="s">
        <v>24</v>
      </c>
      <c r="E65" s="2">
        <v>2</v>
      </c>
      <c r="F65" s="2">
        <v>2</v>
      </c>
      <c r="G65" s="2">
        <v>2</v>
      </c>
      <c r="H65" s="2">
        <v>2</v>
      </c>
      <c r="I65" s="2">
        <v>2</v>
      </c>
      <c r="J65" s="2">
        <v>2</v>
      </c>
      <c r="K65" s="2">
        <v>2</v>
      </c>
      <c r="L65" s="2">
        <v>2</v>
      </c>
      <c r="M65" s="2">
        <v>0</v>
      </c>
      <c r="N65" s="2">
        <v>0</v>
      </c>
      <c r="O65" s="2">
        <v>0</v>
      </c>
      <c r="AC65" s="2" t="str">
        <f t="shared" si="9"/>
        <v/>
      </c>
      <c r="AD65" s="2" t="str">
        <f t="shared" si="9"/>
        <v/>
      </c>
    </row>
    <row r="66" spans="1:30" x14ac:dyDescent="0.2">
      <c r="AC66" s="2" t="str">
        <f t="shared" si="9"/>
        <v/>
      </c>
      <c r="AD66" s="2" t="str">
        <f t="shared" si="9"/>
        <v/>
      </c>
    </row>
    <row r="67" spans="1:30" x14ac:dyDescent="0.2">
      <c r="A67" t="s">
        <v>182</v>
      </c>
      <c r="AC67" s="2" t="str">
        <f t="shared" si="9"/>
        <v/>
      </c>
      <c r="AD67" s="2" t="str">
        <f t="shared" si="9"/>
        <v/>
      </c>
    </row>
    <row r="68" spans="1:30" x14ac:dyDescent="0.2">
      <c r="A68" t="s">
        <v>187</v>
      </c>
      <c r="C68" t="s">
        <v>125</v>
      </c>
      <c r="D68" t="s">
        <v>31</v>
      </c>
      <c r="E68" s="2">
        <v>6</v>
      </c>
      <c r="F68" s="2">
        <v>6</v>
      </c>
      <c r="G68" s="2">
        <v>6</v>
      </c>
      <c r="H68" s="2">
        <v>6</v>
      </c>
      <c r="I68" s="2">
        <v>6</v>
      </c>
      <c r="J68" s="2">
        <v>6</v>
      </c>
      <c r="K68" s="2">
        <v>6</v>
      </c>
      <c r="L68" s="2">
        <v>6</v>
      </c>
      <c r="M68" s="2">
        <v>6</v>
      </c>
      <c r="N68" s="2">
        <v>6</v>
      </c>
    </row>
    <row r="69" spans="1:30" x14ac:dyDescent="0.2">
      <c r="A69" t="s">
        <v>185</v>
      </c>
      <c r="C69" t="s">
        <v>125</v>
      </c>
      <c r="D69" t="s">
        <v>31</v>
      </c>
      <c r="E69" s="2">
        <v>2</v>
      </c>
      <c r="F69" s="2">
        <v>2</v>
      </c>
      <c r="G69" s="2">
        <v>2</v>
      </c>
      <c r="H69" s="2">
        <v>2</v>
      </c>
      <c r="I69" s="2">
        <v>2</v>
      </c>
      <c r="J69" s="2">
        <v>2</v>
      </c>
      <c r="K69" s="2">
        <v>2</v>
      </c>
      <c r="L69" s="2">
        <v>1</v>
      </c>
      <c r="M69" s="2">
        <v>1</v>
      </c>
      <c r="N69" s="2">
        <v>1</v>
      </c>
      <c r="O69" s="2">
        <v>1</v>
      </c>
    </row>
    <row r="70" spans="1:30" x14ac:dyDescent="0.2">
      <c r="A70" t="s">
        <v>186</v>
      </c>
      <c r="C70" t="s">
        <v>125</v>
      </c>
      <c r="D70" t="s">
        <v>31</v>
      </c>
      <c r="E70" s="2">
        <v>4</v>
      </c>
      <c r="F70" s="2">
        <v>4</v>
      </c>
      <c r="G70" s="2">
        <v>4</v>
      </c>
      <c r="H70" s="2">
        <v>4</v>
      </c>
      <c r="I70" s="2">
        <v>4</v>
      </c>
      <c r="J70" s="2">
        <v>4</v>
      </c>
      <c r="K70" s="2">
        <v>4</v>
      </c>
      <c r="L70" s="2">
        <v>4</v>
      </c>
    </row>
    <row r="72" spans="1:30" x14ac:dyDescent="0.2">
      <c r="A72" t="s">
        <v>188</v>
      </c>
    </row>
    <row r="73" spans="1:30" x14ac:dyDescent="0.2">
      <c r="A73" t="s">
        <v>189</v>
      </c>
      <c r="C73" t="s">
        <v>137</v>
      </c>
      <c r="D73" t="s">
        <v>192</v>
      </c>
      <c r="E73" s="2">
        <v>4</v>
      </c>
      <c r="F73" s="2">
        <v>4</v>
      </c>
      <c r="G73" s="2">
        <v>4</v>
      </c>
      <c r="H73" s="2">
        <v>4</v>
      </c>
      <c r="I73" s="2">
        <v>4</v>
      </c>
      <c r="J73" s="2">
        <v>4</v>
      </c>
      <c r="K73" s="2">
        <v>4</v>
      </c>
      <c r="L73" s="2">
        <v>4</v>
      </c>
      <c r="M73" s="2">
        <v>4</v>
      </c>
      <c r="N73" s="2">
        <v>4</v>
      </c>
      <c r="O73" s="2">
        <v>2</v>
      </c>
    </row>
    <row r="74" spans="1:30" x14ac:dyDescent="0.2">
      <c r="A74" t="s">
        <v>190</v>
      </c>
      <c r="C74" t="s">
        <v>137</v>
      </c>
      <c r="D74" t="s">
        <v>192</v>
      </c>
      <c r="E74" s="2">
        <v>3</v>
      </c>
      <c r="F74" s="2">
        <v>3</v>
      </c>
      <c r="G74" s="2">
        <v>3</v>
      </c>
      <c r="H74" s="2">
        <v>3</v>
      </c>
      <c r="I74" s="2">
        <v>3</v>
      </c>
      <c r="J74" s="2">
        <v>3</v>
      </c>
      <c r="K74" s="2">
        <v>3</v>
      </c>
      <c r="L74" s="2">
        <v>3</v>
      </c>
      <c r="M74" s="2">
        <v>3</v>
      </c>
      <c r="N74" s="2">
        <v>3</v>
      </c>
      <c r="O74" s="2">
        <v>1</v>
      </c>
    </row>
    <row r="75" spans="1:30" x14ac:dyDescent="0.2">
      <c r="A75" t="s">
        <v>193</v>
      </c>
      <c r="C75" t="s">
        <v>137</v>
      </c>
      <c r="D75" t="s">
        <v>192</v>
      </c>
      <c r="E75" s="2">
        <v>3</v>
      </c>
      <c r="F75" s="2">
        <v>3</v>
      </c>
      <c r="G75" s="2">
        <v>3</v>
      </c>
      <c r="H75" s="2">
        <v>3</v>
      </c>
      <c r="I75" s="2">
        <v>3</v>
      </c>
      <c r="J75" s="2">
        <v>3</v>
      </c>
      <c r="K75" s="2">
        <v>3</v>
      </c>
      <c r="L75" s="2">
        <v>3</v>
      </c>
      <c r="M75" s="2">
        <v>3</v>
      </c>
      <c r="N75" s="2">
        <v>3</v>
      </c>
      <c r="O75" s="2">
        <v>1</v>
      </c>
    </row>
    <row r="76" spans="1:30" x14ac:dyDescent="0.2">
      <c r="AC76" s="2" t="str">
        <f t="shared" si="9"/>
        <v/>
      </c>
      <c r="AD76" s="2" t="str">
        <f t="shared" si="9"/>
        <v/>
      </c>
    </row>
    <row r="77" spans="1:30" x14ac:dyDescent="0.2">
      <c r="A77" t="s">
        <v>183</v>
      </c>
      <c r="D77" s="35"/>
      <c r="E77" s="34"/>
      <c r="AC77" s="2" t="str">
        <f t="shared" si="9"/>
        <v/>
      </c>
      <c r="AD77" s="2" t="str">
        <f t="shared" si="9"/>
        <v/>
      </c>
    </row>
    <row r="78" spans="1:30" x14ac:dyDescent="0.2">
      <c r="A78" s="35" t="s">
        <v>184</v>
      </c>
      <c r="B78" s="34"/>
      <c r="D78" s="35"/>
      <c r="E78" s="34"/>
      <c r="AC78" s="2" t="str">
        <f t="shared" si="9"/>
        <v/>
      </c>
      <c r="AD78" s="2" t="str">
        <f t="shared" si="9"/>
        <v/>
      </c>
    </row>
    <row r="79" spans="1:30" x14ac:dyDescent="0.2">
      <c r="A79" s="35"/>
      <c r="B79" s="34"/>
      <c r="D79" s="35"/>
      <c r="E79" s="34"/>
      <c r="AC79" s="2" t="str">
        <f t="shared" si="9"/>
        <v/>
      </c>
      <c r="AD79" s="2" t="str">
        <f t="shared" si="9"/>
        <v/>
      </c>
    </row>
    <row r="80" spans="1:30" x14ac:dyDescent="0.2">
      <c r="A80" s="35"/>
      <c r="B80" s="34"/>
      <c r="D80" s="35"/>
      <c r="E80" s="34"/>
      <c r="AC80" s="2" t="str">
        <f t="shared" si="9"/>
        <v/>
      </c>
      <c r="AD80" s="2" t="str">
        <f t="shared" si="9"/>
        <v/>
      </c>
    </row>
    <row r="81" spans="1:30" x14ac:dyDescent="0.2">
      <c r="A81" s="35"/>
      <c r="B81" s="34"/>
      <c r="D81" s="35"/>
      <c r="E81" s="34"/>
      <c r="AC81" s="2" t="str">
        <f t="shared" si="9"/>
        <v/>
      </c>
      <c r="AD81" s="2" t="str">
        <f t="shared" si="9"/>
        <v/>
      </c>
    </row>
    <row r="82" spans="1:30" x14ac:dyDescent="0.2">
      <c r="AC82" s="2" t="str">
        <f t="shared" si="9"/>
        <v/>
      </c>
      <c r="AD82" s="2" t="str">
        <f t="shared" si="9"/>
        <v/>
      </c>
    </row>
    <row r="83" spans="1:30" x14ac:dyDescent="0.2">
      <c r="AC83" s="2" t="str">
        <f t="shared" si="9"/>
        <v/>
      </c>
      <c r="AD83" s="2" t="str">
        <f t="shared" si="9"/>
        <v/>
      </c>
    </row>
    <row r="84" spans="1:30" x14ac:dyDescent="0.2">
      <c r="AC84" s="2" t="str">
        <f t="shared" si="9"/>
        <v/>
      </c>
      <c r="AD84" s="2" t="str">
        <f t="shared" si="9"/>
        <v/>
      </c>
    </row>
    <row r="85" spans="1:30" x14ac:dyDescent="0.2">
      <c r="AC85" s="2" t="str">
        <f t="shared" si="9"/>
        <v/>
      </c>
      <c r="AD85" s="2" t="str">
        <f t="shared" si="9"/>
        <v/>
      </c>
    </row>
    <row r="86" spans="1:30" x14ac:dyDescent="0.2">
      <c r="AC86" s="2" t="str">
        <f t="shared" si="9"/>
        <v/>
      </c>
      <c r="AD86" s="2" t="str">
        <f t="shared" si="9"/>
        <v/>
      </c>
    </row>
    <row r="87" spans="1:30" x14ac:dyDescent="0.2">
      <c r="AC87" s="2" t="str">
        <f t="shared" si="9"/>
        <v/>
      </c>
      <c r="AD87" s="2" t="str">
        <f t="shared" si="9"/>
        <v/>
      </c>
    </row>
    <row r="88" spans="1:30" x14ac:dyDescent="0.2">
      <c r="AC88" s="2" t="str">
        <f t="shared" si="9"/>
        <v/>
      </c>
      <c r="AD88" s="2" t="str">
        <f t="shared" si="9"/>
        <v/>
      </c>
    </row>
    <row r="89" spans="1:30" x14ac:dyDescent="0.2">
      <c r="AC89" s="2" t="str">
        <f t="shared" si="9"/>
        <v/>
      </c>
      <c r="AD89" s="2" t="str">
        <f t="shared" si="9"/>
        <v/>
      </c>
    </row>
    <row r="90" spans="1:30" x14ac:dyDescent="0.2">
      <c r="AC90" s="2" t="str">
        <f t="shared" si="9"/>
        <v/>
      </c>
      <c r="AD90" s="2" t="str">
        <f t="shared" si="9"/>
        <v/>
      </c>
    </row>
    <row r="91" spans="1:30" x14ac:dyDescent="0.2">
      <c r="AC91" s="2" t="str">
        <f t="shared" si="9"/>
        <v/>
      </c>
      <c r="AD91" s="2" t="str">
        <f t="shared" si="9"/>
        <v/>
      </c>
    </row>
    <row r="92" spans="1:30" x14ac:dyDescent="0.2">
      <c r="AC92" s="2" t="str">
        <f t="shared" si="9"/>
        <v/>
      </c>
      <c r="AD92" s="2" t="str">
        <f t="shared" si="9"/>
        <v/>
      </c>
    </row>
    <row r="93" spans="1:30" x14ac:dyDescent="0.2">
      <c r="AC93" s="2" t="str">
        <f t="shared" si="9"/>
        <v/>
      </c>
      <c r="AD93" s="2" t="str">
        <f t="shared" si="9"/>
        <v/>
      </c>
    </row>
    <row r="94" spans="1:30" x14ac:dyDescent="0.2">
      <c r="AC94" s="2" t="str">
        <f t="shared" si="9"/>
        <v/>
      </c>
      <c r="AD94" s="2" t="str">
        <f t="shared" si="9"/>
        <v/>
      </c>
    </row>
    <row r="99" spans="4:4" x14ac:dyDescent="0.2">
      <c r="D99" t="str">
        <f>IF(A99&lt;&gt;"","Planned","")</f>
        <v/>
      </c>
    </row>
  </sheetData>
  <conditionalFormatting sqref="B36:C38 A37:A38 A15:AD27 A28:C35 D28:AD38 A39:AD93">
    <cfRule type="expression" dxfId="13" priority="9" stopIfTrue="1">
      <formula>$D15="Done"</formula>
    </cfRule>
    <cfRule type="expression" dxfId="12" priority="10" stopIfTrue="1">
      <formula>$D15="Ongoing"</formula>
    </cfRule>
  </conditionalFormatting>
  <conditionalFormatting sqref="A36">
    <cfRule type="expression" dxfId="11" priority="122" stopIfTrue="1">
      <formula>$D37="Done"</formula>
    </cfRule>
    <cfRule type="expression" dxfId="10" priority="123" stopIfTrue="1">
      <formula>$D37="Ongoing"</formula>
    </cfRule>
  </conditionalFormatting>
  <dataValidations count="1">
    <dataValidation type="list" allowBlank="1" showInputMessage="1" sqref="D3:D8 D15:D99">
      <formula1>"Planned,Ongoing,Done"</formula1>
    </dataValidation>
  </dataValidations>
  <pageMargins left="0.78740157499999996" right="0.78740157499999996" top="0.984251969" bottom="0.984251969" header="0.5" footer="0.5"/>
  <pageSetup paperSize="9" orientation="portrait" r:id="rId1"/>
  <headerFooter alignWithMargins="0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AD64"/>
  <sheetViews>
    <sheetView zoomScale="175" zoomScaleNormal="175" workbookViewId="0">
      <pane ySplit="14" topLeftCell="A15" activePane="bottomLeft" state="frozen"/>
      <selection pane="bottomLeft" activeCell="A15" sqref="A15"/>
    </sheetView>
  </sheetViews>
  <sheetFormatPr baseColWidth="10" defaultColWidth="9.140625" defaultRowHeight="12.75" x14ac:dyDescent="0.2"/>
  <cols>
    <col min="1" max="1" width="38.42578125" customWidth="1"/>
    <col min="2" max="2" width="8.5703125" style="2" customWidth="1"/>
    <col min="3" max="3" width="13.7109375" customWidth="1"/>
    <col min="4" max="4" width="10.85546875" customWidth="1"/>
    <col min="5" max="5" width="6.5703125" style="2" customWidth="1"/>
    <col min="6" max="30" width="4.42578125" style="2" customWidth="1"/>
    <col min="31" max="256" width="11.42578125" customWidth="1"/>
  </cols>
  <sheetData>
    <row r="1" spans="1:30" ht="18" x14ac:dyDescent="0.25">
      <c r="A1" s="31">
        <v>3</v>
      </c>
      <c r="B1" s="37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</row>
    <row r="2" spans="1:30" x14ac:dyDescent="0.2"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</row>
    <row r="9" spans="1:30" x14ac:dyDescent="0.2">
      <c r="A9" s="18" t="s">
        <v>98</v>
      </c>
      <c r="B9" s="36">
        <v>5</v>
      </c>
      <c r="C9" s="18"/>
      <c r="D9" s="16"/>
      <c r="E9" s="20" t="s">
        <v>99</v>
      </c>
      <c r="F9" s="20" t="s">
        <v>100</v>
      </c>
      <c r="G9" s="20"/>
      <c r="H9" s="20"/>
      <c r="I9" s="20"/>
      <c r="J9" s="20"/>
      <c r="K9" s="20"/>
      <c r="L9" s="20"/>
      <c r="M9" s="21"/>
      <c r="N9" s="21"/>
      <c r="O9" s="21"/>
      <c r="P9" s="21"/>
      <c r="Q9" s="21"/>
      <c r="R9" s="21"/>
      <c r="S9" s="21"/>
      <c r="T9" s="21"/>
      <c r="U9" s="21"/>
      <c r="V9" s="21"/>
      <c r="W9" s="21"/>
      <c r="X9" s="21"/>
      <c r="Y9" s="21"/>
      <c r="Z9" s="21"/>
      <c r="AA9" s="21"/>
      <c r="AB9" s="21"/>
      <c r="AC9" s="21"/>
      <c r="AD9" s="21"/>
    </row>
    <row r="10" spans="1:30" x14ac:dyDescent="0.2">
      <c r="A10" s="18" t="s">
        <v>101</v>
      </c>
      <c r="B10" s="36">
        <v>6</v>
      </c>
      <c r="C10" s="18" t="s">
        <v>3</v>
      </c>
      <c r="D10" s="18" t="s">
        <v>102</v>
      </c>
      <c r="E10" s="17">
        <f ca="1">SUM(OFFSET(E14,1,0,TaskRows,1))</f>
        <v>0</v>
      </c>
      <c r="F10" s="17">
        <f ca="1">IF(AND(SUM(OFFSET(F14,1,0,TaskRows,1))=0),0,SUM(OFFSET(F14,1,0,TaskRows,1)))</f>
        <v>0</v>
      </c>
      <c r="G10" s="17" t="str">
        <f t="shared" ref="G10:AD10" ca="1" si="0">IF(AND(SUM(OFFSET(G14,1,0,TaskRows,1))=0),"",SUM(OFFSET(G14,1,0,TaskRows,1)))</f>
        <v/>
      </c>
      <c r="H10" s="17" t="str">
        <f t="shared" ca="1" si="0"/>
        <v/>
      </c>
      <c r="I10" s="17" t="str">
        <f t="shared" ca="1" si="0"/>
        <v/>
      </c>
      <c r="J10" s="17" t="str">
        <f t="shared" ca="1" si="0"/>
        <v/>
      </c>
      <c r="K10" s="17" t="str">
        <f t="shared" ca="1" si="0"/>
        <v/>
      </c>
      <c r="L10" s="17" t="str">
        <f t="shared" ca="1" si="0"/>
        <v/>
      </c>
      <c r="M10" s="17" t="str">
        <f t="shared" ca="1" si="0"/>
        <v/>
      </c>
      <c r="N10" s="17" t="str">
        <f t="shared" ca="1" si="0"/>
        <v/>
      </c>
      <c r="O10" s="17" t="str">
        <f t="shared" ca="1" si="0"/>
        <v/>
      </c>
      <c r="P10" s="17" t="str">
        <f t="shared" ca="1" si="0"/>
        <v/>
      </c>
      <c r="Q10" s="17" t="str">
        <f t="shared" ca="1" si="0"/>
        <v/>
      </c>
      <c r="R10" s="17" t="str">
        <f t="shared" ca="1" si="0"/>
        <v/>
      </c>
      <c r="S10" s="17" t="str">
        <f t="shared" ca="1" si="0"/>
        <v/>
      </c>
      <c r="T10" s="17" t="str">
        <f t="shared" ca="1" si="0"/>
        <v/>
      </c>
      <c r="U10" s="17" t="str">
        <f t="shared" ca="1" si="0"/>
        <v/>
      </c>
      <c r="V10" s="17" t="str">
        <f t="shared" ca="1" si="0"/>
        <v/>
      </c>
      <c r="W10" s="17" t="str">
        <f t="shared" ca="1" si="0"/>
        <v/>
      </c>
      <c r="X10" s="17" t="str">
        <f t="shared" ca="1" si="0"/>
        <v/>
      </c>
      <c r="Y10" s="17" t="str">
        <f t="shared" ca="1" si="0"/>
        <v/>
      </c>
      <c r="Z10" s="17" t="str">
        <f t="shared" ca="1" si="0"/>
        <v/>
      </c>
      <c r="AA10" s="17" t="str">
        <f t="shared" ca="1" si="0"/>
        <v/>
      </c>
      <c r="AB10" s="17" t="str">
        <f t="shared" ca="1" si="0"/>
        <v/>
      </c>
      <c r="AC10" s="17" t="str">
        <f t="shared" ca="1" si="0"/>
        <v/>
      </c>
      <c r="AD10" s="17" t="str">
        <f t="shared" ca="1" si="0"/>
        <v/>
      </c>
    </row>
    <row r="11" spans="1:30" hidden="1" x14ac:dyDescent="0.2">
      <c r="A11" t="s">
        <v>103</v>
      </c>
      <c r="B11" s="2">
        <f>IF(COUNTA(A15:A242)=0,1,COUNTA(A15:A242))</f>
        <v>1</v>
      </c>
      <c r="C11" t="s">
        <v>104</v>
      </c>
      <c r="D11" s="2">
        <f ca="1">IF(COUNTIF(F10:AD10,"&gt;0")=0,1,COUNTIF(F10:AD10,"&gt;0"))</f>
        <v>1</v>
      </c>
      <c r="F11" s="2">
        <f ca="1">IF(F14="","",$E10-$E10/($B9-1)*(F14-1))</f>
        <v>0</v>
      </c>
      <c r="G11" s="2">
        <f t="shared" ref="G11:AD11" ca="1" si="1">IF(G14="","",TotalEffort-TotalEffort/(ImplementationDays)*(G14-1))</f>
        <v>0</v>
      </c>
      <c r="H11" s="2">
        <f t="shared" ca="1" si="1"/>
        <v>0</v>
      </c>
      <c r="I11" s="2">
        <f t="shared" ca="1" si="1"/>
        <v>0</v>
      </c>
      <c r="J11" s="2">
        <f t="shared" ca="1" si="1"/>
        <v>0</v>
      </c>
      <c r="K11" s="2" t="str">
        <f t="shared" si="1"/>
        <v/>
      </c>
      <c r="L11" s="2" t="str">
        <f t="shared" si="1"/>
        <v/>
      </c>
      <c r="M11" s="2" t="str">
        <f t="shared" si="1"/>
        <v/>
      </c>
      <c r="N11" s="2" t="str">
        <f t="shared" si="1"/>
        <v/>
      </c>
      <c r="O11" s="2" t="str">
        <f t="shared" si="1"/>
        <v/>
      </c>
      <c r="P11" s="2" t="str">
        <f t="shared" si="1"/>
        <v/>
      </c>
      <c r="Q11" s="2" t="str">
        <f t="shared" si="1"/>
        <v/>
      </c>
      <c r="R11" s="2" t="str">
        <f t="shared" si="1"/>
        <v/>
      </c>
      <c r="S11" s="2" t="str">
        <f t="shared" si="1"/>
        <v/>
      </c>
      <c r="T11" s="2" t="str">
        <f t="shared" si="1"/>
        <v/>
      </c>
      <c r="U11" s="2" t="str">
        <f t="shared" si="1"/>
        <v/>
      </c>
      <c r="V11" s="2" t="str">
        <f t="shared" si="1"/>
        <v/>
      </c>
      <c r="W11" s="2" t="str">
        <f t="shared" si="1"/>
        <v/>
      </c>
      <c r="X11" s="2" t="str">
        <f t="shared" si="1"/>
        <v/>
      </c>
      <c r="Y11" s="2" t="str">
        <f t="shared" si="1"/>
        <v/>
      </c>
      <c r="Z11" s="2" t="str">
        <f t="shared" si="1"/>
        <v/>
      </c>
      <c r="AA11" s="2" t="str">
        <f t="shared" si="1"/>
        <v/>
      </c>
      <c r="AB11" s="2" t="str">
        <f t="shared" si="1"/>
        <v/>
      </c>
      <c r="AC11" s="2" t="str">
        <f t="shared" si="1"/>
        <v/>
      </c>
      <c r="AD11" s="2" t="str">
        <f t="shared" si="1"/>
        <v/>
      </c>
    </row>
    <row r="12" spans="1:30" hidden="1" x14ac:dyDescent="0.2">
      <c r="A12" s="56" t="s">
        <v>105</v>
      </c>
      <c r="B12"/>
      <c r="C12" t="s">
        <v>68</v>
      </c>
      <c r="D12" s="2"/>
      <c r="F12" s="2">
        <f t="shared" ref="F12:AD12" ca="1" si="2">IF(TREND(OFFSET($F10,0,DoneDays-TrendDays,1,TrendDays),OFFSET($F13,0,DoneDays-TrendDays,1,TrendDays),F13)&lt;0,"",TREND(OFFSET($F10,0,DoneDays-TrendDays,1,TrendDays),OFFSET($F13,0,DoneDays-TrendDays,1,TrendDays),F13))</f>
        <v>0</v>
      </c>
      <c r="G12" s="2">
        <f t="shared" ca="1" si="2"/>
        <v>0</v>
      </c>
      <c r="H12" s="2">
        <f t="shared" ca="1" si="2"/>
        <v>0</v>
      </c>
      <c r="I12" s="2">
        <f t="shared" ca="1" si="2"/>
        <v>0</v>
      </c>
      <c r="J12" s="2">
        <f t="shared" ca="1" si="2"/>
        <v>0</v>
      </c>
      <c r="K12" s="2">
        <f t="shared" ca="1" si="2"/>
        <v>0</v>
      </c>
      <c r="L12" s="2">
        <f t="shared" ca="1" si="2"/>
        <v>0</v>
      </c>
      <c r="M12" s="2">
        <f t="shared" ca="1" si="2"/>
        <v>0</v>
      </c>
      <c r="N12" s="2">
        <f t="shared" ca="1" si="2"/>
        <v>0</v>
      </c>
      <c r="O12" s="2">
        <f t="shared" ca="1" si="2"/>
        <v>0</v>
      </c>
      <c r="P12" s="2">
        <f t="shared" ca="1" si="2"/>
        <v>0</v>
      </c>
      <c r="Q12" s="2">
        <f t="shared" ca="1" si="2"/>
        <v>0</v>
      </c>
      <c r="R12" s="2">
        <f t="shared" ca="1" si="2"/>
        <v>0</v>
      </c>
      <c r="S12" s="2">
        <f t="shared" ca="1" si="2"/>
        <v>0</v>
      </c>
      <c r="T12" s="2">
        <f t="shared" ca="1" si="2"/>
        <v>0</v>
      </c>
      <c r="U12" s="2">
        <f t="shared" ca="1" si="2"/>
        <v>0</v>
      </c>
      <c r="V12" s="2">
        <f t="shared" ca="1" si="2"/>
        <v>0</v>
      </c>
      <c r="W12" s="2">
        <f t="shared" ca="1" si="2"/>
        <v>0</v>
      </c>
      <c r="X12" s="2">
        <f t="shared" ca="1" si="2"/>
        <v>0</v>
      </c>
      <c r="Y12" s="2">
        <f t="shared" ca="1" si="2"/>
        <v>0</v>
      </c>
      <c r="Z12" s="2">
        <f t="shared" ca="1" si="2"/>
        <v>0</v>
      </c>
      <c r="AA12" s="2">
        <f t="shared" ca="1" si="2"/>
        <v>0</v>
      </c>
      <c r="AB12" s="2">
        <f t="shared" ca="1" si="2"/>
        <v>0</v>
      </c>
      <c r="AC12" s="2">
        <f t="shared" ca="1" si="2"/>
        <v>0</v>
      </c>
      <c r="AD12" s="2">
        <f t="shared" ca="1" si="2"/>
        <v>0</v>
      </c>
    </row>
    <row r="13" spans="1:30" hidden="1" x14ac:dyDescent="0.2">
      <c r="A13" s="56" t="s">
        <v>106</v>
      </c>
      <c r="B13"/>
      <c r="C13" t="s">
        <v>107</v>
      </c>
      <c r="D13" s="2">
        <f ca="1">IF(DoneDays&gt;B10,B10,DoneDays)</f>
        <v>1</v>
      </c>
      <c r="F13" s="2">
        <f ca="1">IF(DoneDays&gt;E13,E13+1,"")</f>
        <v>1</v>
      </c>
      <c r="G13" s="2">
        <v>2</v>
      </c>
      <c r="H13" s="2">
        <v>3</v>
      </c>
      <c r="I13" s="2">
        <v>4</v>
      </c>
      <c r="J13" s="2">
        <v>5</v>
      </c>
      <c r="K13" s="2">
        <v>6</v>
      </c>
      <c r="L13" s="2">
        <v>7</v>
      </c>
      <c r="M13" s="2">
        <v>8</v>
      </c>
      <c r="N13" s="2">
        <v>9</v>
      </c>
      <c r="O13" s="2">
        <v>10</v>
      </c>
      <c r="P13" s="2">
        <v>11</v>
      </c>
      <c r="Q13" s="2">
        <v>12</v>
      </c>
      <c r="R13" s="2">
        <v>13</v>
      </c>
      <c r="S13" s="2">
        <v>14</v>
      </c>
      <c r="T13" s="2">
        <v>15</v>
      </c>
      <c r="U13" s="2">
        <v>16</v>
      </c>
      <c r="V13" s="2">
        <v>17</v>
      </c>
      <c r="W13" s="2">
        <v>18</v>
      </c>
      <c r="X13" s="2">
        <v>19</v>
      </c>
      <c r="Y13" s="2">
        <v>20</v>
      </c>
      <c r="Z13" s="2">
        <v>21</v>
      </c>
      <c r="AA13" s="2">
        <v>22</v>
      </c>
      <c r="AB13" s="2">
        <v>23</v>
      </c>
      <c r="AC13" s="2">
        <v>24</v>
      </c>
      <c r="AD13" s="2">
        <v>25</v>
      </c>
    </row>
    <row r="14" spans="1:30" x14ac:dyDescent="0.2">
      <c r="A14" s="18" t="s">
        <v>108</v>
      </c>
      <c r="B14" s="19" t="s">
        <v>18</v>
      </c>
      <c r="C14" s="18" t="s">
        <v>109</v>
      </c>
      <c r="D14" s="18" t="s">
        <v>6</v>
      </c>
      <c r="E14" s="19" t="s">
        <v>110</v>
      </c>
      <c r="F14" s="19">
        <v>1</v>
      </c>
      <c r="G14" s="19">
        <f t="shared" ref="G14:AD14" si="3">IF($B$9&gt;F14,F14+1,"")</f>
        <v>2</v>
      </c>
      <c r="H14" s="19">
        <f t="shared" si="3"/>
        <v>3</v>
      </c>
      <c r="I14" s="19">
        <f t="shared" si="3"/>
        <v>4</v>
      </c>
      <c r="J14" s="19">
        <f t="shared" si="3"/>
        <v>5</v>
      </c>
      <c r="K14" s="19" t="str">
        <f t="shared" si="3"/>
        <v/>
      </c>
      <c r="L14" s="19" t="str">
        <f t="shared" si="3"/>
        <v/>
      </c>
      <c r="M14" s="19" t="str">
        <f t="shared" si="3"/>
        <v/>
      </c>
      <c r="N14" s="19" t="str">
        <f t="shared" si="3"/>
        <v/>
      </c>
      <c r="O14" s="19" t="str">
        <f t="shared" si="3"/>
        <v/>
      </c>
      <c r="P14" s="19" t="str">
        <f t="shared" si="3"/>
        <v/>
      </c>
      <c r="Q14" s="19" t="str">
        <f t="shared" si="3"/>
        <v/>
      </c>
      <c r="R14" s="19" t="str">
        <f t="shared" si="3"/>
        <v/>
      </c>
      <c r="S14" s="19" t="str">
        <f t="shared" si="3"/>
        <v/>
      </c>
      <c r="T14" s="19" t="str">
        <f t="shared" si="3"/>
        <v/>
      </c>
      <c r="U14" s="19" t="str">
        <f t="shared" si="3"/>
        <v/>
      </c>
      <c r="V14" s="19" t="str">
        <f t="shared" si="3"/>
        <v/>
      </c>
      <c r="W14" s="19" t="str">
        <f t="shared" si="3"/>
        <v/>
      </c>
      <c r="X14" s="19" t="str">
        <f t="shared" si="3"/>
        <v/>
      </c>
      <c r="Y14" s="19" t="str">
        <f t="shared" si="3"/>
        <v/>
      </c>
      <c r="Z14" s="19" t="str">
        <f t="shared" si="3"/>
        <v/>
      </c>
      <c r="AA14" s="19" t="str">
        <f t="shared" si="3"/>
        <v/>
      </c>
      <c r="AB14" s="19" t="str">
        <f t="shared" si="3"/>
        <v/>
      </c>
      <c r="AC14" s="19" t="str">
        <f t="shared" si="3"/>
        <v/>
      </c>
      <c r="AD14" s="19" t="str">
        <f t="shared" si="3"/>
        <v/>
      </c>
    </row>
    <row r="15" spans="1:30" x14ac:dyDescent="0.2">
      <c r="D15" t="str">
        <f t="shared" ref="D15:D55" si="4">IF(A15&lt;&gt;"","Planned","")</f>
        <v/>
      </c>
      <c r="F15" s="2" t="str">
        <f t="shared" ref="F15:F59" si="5">IF(OR(F$14="",$E15=""),"",E15)</f>
        <v/>
      </c>
      <c r="AC15" s="2" t="str">
        <f t="shared" ref="AC15:AD34" si="6">IF(OR(AC$14="",$E15=""),"",AB15)</f>
        <v/>
      </c>
      <c r="AD15" s="2" t="str">
        <f t="shared" si="6"/>
        <v/>
      </c>
    </row>
    <row r="16" spans="1:30" x14ac:dyDescent="0.2">
      <c r="D16" t="str">
        <f t="shared" si="4"/>
        <v/>
      </c>
      <c r="F16" s="2" t="str">
        <f t="shared" si="5"/>
        <v/>
      </c>
      <c r="AC16" s="2" t="str">
        <f t="shared" si="6"/>
        <v/>
      </c>
      <c r="AD16" s="2" t="str">
        <f t="shared" si="6"/>
        <v/>
      </c>
    </row>
    <row r="17" spans="4:30" x14ac:dyDescent="0.2">
      <c r="D17" t="str">
        <f t="shared" si="4"/>
        <v/>
      </c>
      <c r="F17" s="2" t="str">
        <f t="shared" si="5"/>
        <v/>
      </c>
      <c r="AC17" s="2" t="str">
        <f t="shared" si="6"/>
        <v/>
      </c>
      <c r="AD17" s="2" t="str">
        <f t="shared" si="6"/>
        <v/>
      </c>
    </row>
    <row r="18" spans="4:30" x14ac:dyDescent="0.2">
      <c r="D18" t="str">
        <f t="shared" si="4"/>
        <v/>
      </c>
      <c r="F18" s="2" t="str">
        <f t="shared" si="5"/>
        <v/>
      </c>
      <c r="AC18" s="2" t="str">
        <f t="shared" si="6"/>
        <v/>
      </c>
      <c r="AD18" s="2" t="str">
        <f t="shared" si="6"/>
        <v/>
      </c>
    </row>
    <row r="19" spans="4:30" x14ac:dyDescent="0.2">
      <c r="D19" t="str">
        <f t="shared" si="4"/>
        <v/>
      </c>
      <c r="F19" s="2" t="str">
        <f t="shared" si="5"/>
        <v/>
      </c>
      <c r="AC19" s="2" t="str">
        <f t="shared" si="6"/>
        <v/>
      </c>
      <c r="AD19" s="2" t="str">
        <f t="shared" si="6"/>
        <v/>
      </c>
    </row>
    <row r="20" spans="4:30" x14ac:dyDescent="0.2">
      <c r="D20" t="str">
        <f t="shared" si="4"/>
        <v/>
      </c>
      <c r="F20" s="2" t="str">
        <f t="shared" si="5"/>
        <v/>
      </c>
      <c r="AC20" s="2" t="str">
        <f t="shared" si="6"/>
        <v/>
      </c>
      <c r="AD20" s="2" t="str">
        <f t="shared" si="6"/>
        <v/>
      </c>
    </row>
    <row r="21" spans="4:30" x14ac:dyDescent="0.2">
      <c r="D21" t="str">
        <f t="shared" si="4"/>
        <v/>
      </c>
      <c r="F21" s="2" t="str">
        <f t="shared" si="5"/>
        <v/>
      </c>
      <c r="AC21" s="2" t="str">
        <f t="shared" si="6"/>
        <v/>
      </c>
      <c r="AD21" s="2" t="str">
        <f t="shared" si="6"/>
        <v/>
      </c>
    </row>
    <row r="22" spans="4:30" x14ac:dyDescent="0.2">
      <c r="D22" t="str">
        <f t="shared" si="4"/>
        <v/>
      </c>
      <c r="F22" s="2" t="str">
        <f t="shared" si="5"/>
        <v/>
      </c>
      <c r="AC22" s="2" t="str">
        <f t="shared" si="6"/>
        <v/>
      </c>
      <c r="AD22" s="2" t="str">
        <f t="shared" si="6"/>
        <v/>
      </c>
    </row>
    <row r="23" spans="4:30" x14ac:dyDescent="0.2">
      <c r="D23" t="str">
        <f t="shared" si="4"/>
        <v/>
      </c>
      <c r="F23" s="2" t="str">
        <f t="shared" si="5"/>
        <v/>
      </c>
      <c r="AC23" s="2" t="str">
        <f t="shared" si="6"/>
        <v/>
      </c>
      <c r="AD23" s="2" t="str">
        <f t="shared" si="6"/>
        <v/>
      </c>
    </row>
    <row r="24" spans="4:30" x14ac:dyDescent="0.2">
      <c r="D24" t="str">
        <f t="shared" si="4"/>
        <v/>
      </c>
      <c r="F24" s="2" t="str">
        <f t="shared" si="5"/>
        <v/>
      </c>
      <c r="AC24" s="2" t="str">
        <f t="shared" si="6"/>
        <v/>
      </c>
      <c r="AD24" s="2" t="str">
        <f t="shared" si="6"/>
        <v/>
      </c>
    </row>
    <row r="25" spans="4:30" x14ac:dyDescent="0.2">
      <c r="D25" t="str">
        <f t="shared" si="4"/>
        <v/>
      </c>
      <c r="F25" s="2" t="str">
        <f t="shared" si="5"/>
        <v/>
      </c>
      <c r="AC25" s="2" t="str">
        <f t="shared" si="6"/>
        <v/>
      </c>
      <c r="AD25" s="2" t="str">
        <f t="shared" si="6"/>
        <v/>
      </c>
    </row>
    <row r="26" spans="4:30" x14ac:dyDescent="0.2">
      <c r="D26" t="str">
        <f t="shared" si="4"/>
        <v/>
      </c>
      <c r="F26" s="2" t="str">
        <f t="shared" si="5"/>
        <v/>
      </c>
      <c r="AC26" s="2" t="str">
        <f t="shared" si="6"/>
        <v/>
      </c>
      <c r="AD26" s="2" t="str">
        <f t="shared" si="6"/>
        <v/>
      </c>
    </row>
    <row r="27" spans="4:30" x14ac:dyDescent="0.2">
      <c r="D27" t="str">
        <f t="shared" si="4"/>
        <v/>
      </c>
      <c r="F27" s="2" t="str">
        <f t="shared" si="5"/>
        <v/>
      </c>
      <c r="AC27" s="2" t="str">
        <f t="shared" si="6"/>
        <v/>
      </c>
      <c r="AD27" s="2" t="str">
        <f t="shared" si="6"/>
        <v/>
      </c>
    </row>
    <row r="28" spans="4:30" x14ac:dyDescent="0.2">
      <c r="D28" t="str">
        <f t="shared" si="4"/>
        <v/>
      </c>
      <c r="F28" s="2" t="str">
        <f t="shared" si="5"/>
        <v/>
      </c>
      <c r="AC28" s="2" t="str">
        <f t="shared" si="6"/>
        <v/>
      </c>
      <c r="AD28" s="2" t="str">
        <f t="shared" si="6"/>
        <v/>
      </c>
    </row>
    <row r="29" spans="4:30" x14ac:dyDescent="0.2">
      <c r="D29" t="str">
        <f t="shared" si="4"/>
        <v/>
      </c>
      <c r="F29" s="2" t="str">
        <f t="shared" si="5"/>
        <v/>
      </c>
      <c r="AC29" s="2" t="str">
        <f t="shared" si="6"/>
        <v/>
      </c>
      <c r="AD29" s="2" t="str">
        <f t="shared" si="6"/>
        <v/>
      </c>
    </row>
    <row r="30" spans="4:30" x14ac:dyDescent="0.2">
      <c r="D30" t="str">
        <f t="shared" si="4"/>
        <v/>
      </c>
      <c r="F30" s="2" t="str">
        <f t="shared" si="5"/>
        <v/>
      </c>
      <c r="AC30" s="2" t="str">
        <f t="shared" si="6"/>
        <v/>
      </c>
      <c r="AD30" s="2" t="str">
        <f t="shared" si="6"/>
        <v/>
      </c>
    </row>
    <row r="31" spans="4:30" x14ac:dyDescent="0.2">
      <c r="D31" t="str">
        <f t="shared" si="4"/>
        <v/>
      </c>
      <c r="F31" s="2" t="str">
        <f t="shared" si="5"/>
        <v/>
      </c>
      <c r="AC31" s="2" t="str">
        <f t="shared" si="6"/>
        <v/>
      </c>
      <c r="AD31" s="2" t="str">
        <f t="shared" si="6"/>
        <v/>
      </c>
    </row>
    <row r="32" spans="4:30" x14ac:dyDescent="0.2">
      <c r="D32" t="str">
        <f t="shared" si="4"/>
        <v/>
      </c>
      <c r="F32" s="2" t="str">
        <f t="shared" si="5"/>
        <v/>
      </c>
      <c r="AC32" s="2" t="str">
        <f t="shared" si="6"/>
        <v/>
      </c>
      <c r="AD32" s="2" t="str">
        <f t="shared" si="6"/>
        <v/>
      </c>
    </row>
    <row r="33" spans="4:30" x14ac:dyDescent="0.2">
      <c r="D33" t="str">
        <f t="shared" si="4"/>
        <v/>
      </c>
      <c r="F33" s="2" t="str">
        <f t="shared" si="5"/>
        <v/>
      </c>
      <c r="AC33" s="2" t="str">
        <f t="shared" si="6"/>
        <v/>
      </c>
      <c r="AD33" s="2" t="str">
        <f t="shared" si="6"/>
        <v/>
      </c>
    </row>
    <row r="34" spans="4:30" x14ac:dyDescent="0.2">
      <c r="D34" t="str">
        <f t="shared" si="4"/>
        <v/>
      </c>
      <c r="F34" s="2" t="str">
        <f t="shared" si="5"/>
        <v/>
      </c>
      <c r="AC34" s="2" t="str">
        <f t="shared" si="6"/>
        <v/>
      </c>
      <c r="AD34" s="2" t="str">
        <f t="shared" si="6"/>
        <v/>
      </c>
    </row>
    <row r="35" spans="4:30" x14ac:dyDescent="0.2">
      <c r="D35" t="str">
        <f t="shared" si="4"/>
        <v/>
      </c>
      <c r="F35" s="2" t="str">
        <f t="shared" si="5"/>
        <v/>
      </c>
      <c r="AC35" s="2" t="str">
        <f t="shared" ref="AC35:AD54" si="7">IF(OR(AC$14="",$E35=""),"",AB35)</f>
        <v/>
      </c>
      <c r="AD35" s="2" t="str">
        <f t="shared" si="7"/>
        <v/>
      </c>
    </row>
    <row r="36" spans="4:30" x14ac:dyDescent="0.2">
      <c r="D36" t="str">
        <f t="shared" si="4"/>
        <v/>
      </c>
      <c r="F36" s="2" t="str">
        <f t="shared" si="5"/>
        <v/>
      </c>
      <c r="AC36" s="2" t="str">
        <f t="shared" si="7"/>
        <v/>
      </c>
      <c r="AD36" s="2" t="str">
        <f t="shared" si="7"/>
        <v/>
      </c>
    </row>
    <row r="37" spans="4:30" x14ac:dyDescent="0.2">
      <c r="D37" t="str">
        <f t="shared" si="4"/>
        <v/>
      </c>
      <c r="F37" s="2" t="str">
        <f t="shared" si="5"/>
        <v/>
      </c>
      <c r="AC37" s="2" t="str">
        <f t="shared" si="7"/>
        <v/>
      </c>
      <c r="AD37" s="2" t="str">
        <f t="shared" si="7"/>
        <v/>
      </c>
    </row>
    <row r="38" spans="4:30" x14ac:dyDescent="0.2">
      <c r="D38" t="str">
        <f t="shared" si="4"/>
        <v/>
      </c>
      <c r="F38" s="2" t="str">
        <f t="shared" si="5"/>
        <v/>
      </c>
      <c r="AC38" s="2" t="str">
        <f t="shared" si="7"/>
        <v/>
      </c>
      <c r="AD38" s="2" t="str">
        <f t="shared" si="7"/>
        <v/>
      </c>
    </row>
    <row r="39" spans="4:30" x14ac:dyDescent="0.2">
      <c r="D39" t="str">
        <f t="shared" si="4"/>
        <v/>
      </c>
      <c r="F39" s="2" t="str">
        <f t="shared" si="5"/>
        <v/>
      </c>
      <c r="AC39" s="2" t="str">
        <f t="shared" si="7"/>
        <v/>
      </c>
      <c r="AD39" s="2" t="str">
        <f t="shared" si="7"/>
        <v/>
      </c>
    </row>
    <row r="40" spans="4:30" x14ac:dyDescent="0.2">
      <c r="D40" t="str">
        <f t="shared" si="4"/>
        <v/>
      </c>
      <c r="F40" s="2" t="str">
        <f t="shared" si="5"/>
        <v/>
      </c>
      <c r="AC40" s="2" t="str">
        <f t="shared" si="7"/>
        <v/>
      </c>
      <c r="AD40" s="2" t="str">
        <f t="shared" si="7"/>
        <v/>
      </c>
    </row>
    <row r="41" spans="4:30" x14ac:dyDescent="0.2">
      <c r="D41" t="str">
        <f t="shared" si="4"/>
        <v/>
      </c>
      <c r="F41" s="2" t="str">
        <f t="shared" si="5"/>
        <v/>
      </c>
      <c r="AC41" s="2" t="str">
        <f t="shared" si="7"/>
        <v/>
      </c>
      <c r="AD41" s="2" t="str">
        <f t="shared" si="7"/>
        <v/>
      </c>
    </row>
    <row r="42" spans="4:30" x14ac:dyDescent="0.2">
      <c r="D42" t="str">
        <f t="shared" si="4"/>
        <v/>
      </c>
      <c r="F42" s="2" t="str">
        <f t="shared" si="5"/>
        <v/>
      </c>
      <c r="AC42" s="2" t="str">
        <f t="shared" si="7"/>
        <v/>
      </c>
      <c r="AD42" s="2" t="str">
        <f t="shared" si="7"/>
        <v/>
      </c>
    </row>
    <row r="43" spans="4:30" x14ac:dyDescent="0.2">
      <c r="D43" t="str">
        <f t="shared" si="4"/>
        <v/>
      </c>
      <c r="F43" s="2" t="str">
        <f t="shared" si="5"/>
        <v/>
      </c>
      <c r="AC43" s="2" t="str">
        <f t="shared" si="7"/>
        <v/>
      </c>
      <c r="AD43" s="2" t="str">
        <f t="shared" si="7"/>
        <v/>
      </c>
    </row>
    <row r="44" spans="4:30" x14ac:dyDescent="0.2">
      <c r="D44" t="str">
        <f t="shared" si="4"/>
        <v/>
      </c>
      <c r="F44" s="2" t="str">
        <f t="shared" si="5"/>
        <v/>
      </c>
      <c r="AC44" s="2" t="str">
        <f t="shared" si="7"/>
        <v/>
      </c>
      <c r="AD44" s="2" t="str">
        <f t="shared" si="7"/>
        <v/>
      </c>
    </row>
    <row r="45" spans="4:30" x14ac:dyDescent="0.2">
      <c r="D45" t="str">
        <f t="shared" si="4"/>
        <v/>
      </c>
      <c r="F45" s="2" t="str">
        <f t="shared" si="5"/>
        <v/>
      </c>
      <c r="AC45" s="2" t="str">
        <f t="shared" si="7"/>
        <v/>
      </c>
      <c r="AD45" s="2" t="str">
        <f t="shared" si="7"/>
        <v/>
      </c>
    </row>
    <row r="46" spans="4:30" x14ac:dyDescent="0.2">
      <c r="D46" t="str">
        <f t="shared" si="4"/>
        <v/>
      </c>
      <c r="F46" s="2" t="str">
        <f t="shared" si="5"/>
        <v/>
      </c>
      <c r="AC46" s="2" t="str">
        <f t="shared" si="7"/>
        <v/>
      </c>
      <c r="AD46" s="2" t="str">
        <f t="shared" si="7"/>
        <v/>
      </c>
    </row>
    <row r="47" spans="4:30" x14ac:dyDescent="0.2">
      <c r="D47" t="str">
        <f t="shared" si="4"/>
        <v/>
      </c>
      <c r="F47" s="2" t="str">
        <f t="shared" si="5"/>
        <v/>
      </c>
      <c r="AC47" s="2" t="str">
        <f t="shared" si="7"/>
        <v/>
      </c>
      <c r="AD47" s="2" t="str">
        <f t="shared" si="7"/>
        <v/>
      </c>
    </row>
    <row r="48" spans="4:30" x14ac:dyDescent="0.2">
      <c r="D48" t="str">
        <f t="shared" si="4"/>
        <v/>
      </c>
      <c r="F48" s="2" t="str">
        <f t="shared" si="5"/>
        <v/>
      </c>
      <c r="AC48" s="2" t="str">
        <f t="shared" si="7"/>
        <v/>
      </c>
      <c r="AD48" s="2" t="str">
        <f t="shared" si="7"/>
        <v/>
      </c>
    </row>
    <row r="49" spans="4:30" x14ac:dyDescent="0.2">
      <c r="D49" t="str">
        <f t="shared" si="4"/>
        <v/>
      </c>
      <c r="F49" s="2" t="str">
        <f t="shared" si="5"/>
        <v/>
      </c>
      <c r="AC49" s="2" t="str">
        <f t="shared" si="7"/>
        <v/>
      </c>
      <c r="AD49" s="2" t="str">
        <f t="shared" si="7"/>
        <v/>
      </c>
    </row>
    <row r="50" spans="4:30" x14ac:dyDescent="0.2">
      <c r="D50" t="str">
        <f t="shared" si="4"/>
        <v/>
      </c>
      <c r="F50" s="2" t="str">
        <f t="shared" si="5"/>
        <v/>
      </c>
      <c r="AC50" s="2" t="str">
        <f t="shared" si="7"/>
        <v/>
      </c>
      <c r="AD50" s="2" t="str">
        <f t="shared" si="7"/>
        <v/>
      </c>
    </row>
    <row r="51" spans="4:30" x14ac:dyDescent="0.2">
      <c r="D51" t="str">
        <f t="shared" si="4"/>
        <v/>
      </c>
      <c r="F51" s="2" t="str">
        <f t="shared" si="5"/>
        <v/>
      </c>
      <c r="AC51" s="2" t="str">
        <f t="shared" si="7"/>
        <v/>
      </c>
      <c r="AD51" s="2" t="str">
        <f t="shared" si="7"/>
        <v/>
      </c>
    </row>
    <row r="52" spans="4:30" x14ac:dyDescent="0.2">
      <c r="D52" t="str">
        <f t="shared" si="4"/>
        <v/>
      </c>
      <c r="F52" s="2" t="str">
        <f t="shared" si="5"/>
        <v/>
      </c>
      <c r="AC52" s="2" t="str">
        <f t="shared" si="7"/>
        <v/>
      </c>
      <c r="AD52" s="2" t="str">
        <f t="shared" si="7"/>
        <v/>
      </c>
    </row>
    <row r="53" spans="4:30" x14ac:dyDescent="0.2">
      <c r="D53" t="str">
        <f t="shared" si="4"/>
        <v/>
      </c>
      <c r="F53" s="2" t="str">
        <f t="shared" si="5"/>
        <v/>
      </c>
      <c r="AC53" s="2" t="str">
        <f t="shared" si="7"/>
        <v/>
      </c>
      <c r="AD53" s="2" t="str">
        <f t="shared" si="7"/>
        <v/>
      </c>
    </row>
    <row r="54" spans="4:30" x14ac:dyDescent="0.2">
      <c r="D54" t="str">
        <f t="shared" si="4"/>
        <v/>
      </c>
      <c r="F54" s="2" t="str">
        <f t="shared" si="5"/>
        <v/>
      </c>
      <c r="G54" s="2" t="str">
        <f t="shared" ref="G54:AB54" si="8">IF(OR(G$14="",$E54=""),"",F54)</f>
        <v/>
      </c>
      <c r="H54" s="2" t="str">
        <f t="shared" si="8"/>
        <v/>
      </c>
      <c r="I54" s="2" t="str">
        <f t="shared" si="8"/>
        <v/>
      </c>
      <c r="J54" s="2" t="str">
        <f t="shared" si="8"/>
        <v/>
      </c>
      <c r="K54" s="2" t="str">
        <f t="shared" si="8"/>
        <v/>
      </c>
      <c r="L54" s="2" t="str">
        <f t="shared" si="8"/>
        <v/>
      </c>
      <c r="M54" s="2" t="str">
        <f t="shared" si="8"/>
        <v/>
      </c>
      <c r="N54" s="2" t="str">
        <f t="shared" si="8"/>
        <v/>
      </c>
      <c r="O54" s="2" t="str">
        <f t="shared" si="8"/>
        <v/>
      </c>
      <c r="P54" s="2" t="str">
        <f t="shared" si="8"/>
        <v/>
      </c>
      <c r="Q54" s="2" t="str">
        <f t="shared" si="8"/>
        <v/>
      </c>
      <c r="R54" s="2" t="str">
        <f t="shared" si="8"/>
        <v/>
      </c>
      <c r="S54" s="2" t="str">
        <f t="shared" si="8"/>
        <v/>
      </c>
      <c r="T54" s="2" t="str">
        <f t="shared" si="8"/>
        <v/>
      </c>
      <c r="U54" s="2" t="str">
        <f t="shared" si="8"/>
        <v/>
      </c>
      <c r="V54" s="2" t="str">
        <f t="shared" si="8"/>
        <v/>
      </c>
      <c r="W54" s="2" t="str">
        <f t="shared" si="8"/>
        <v/>
      </c>
      <c r="X54" s="2" t="str">
        <f t="shared" si="8"/>
        <v/>
      </c>
      <c r="Y54" s="2" t="str">
        <f t="shared" si="8"/>
        <v/>
      </c>
      <c r="Z54" s="2" t="str">
        <f t="shared" si="8"/>
        <v/>
      </c>
      <c r="AA54" s="2" t="str">
        <f t="shared" si="8"/>
        <v/>
      </c>
      <c r="AB54" s="2" t="str">
        <f t="shared" si="8"/>
        <v/>
      </c>
      <c r="AC54" s="2" t="str">
        <f t="shared" si="7"/>
        <v/>
      </c>
      <c r="AD54" s="2" t="str">
        <f t="shared" si="7"/>
        <v/>
      </c>
    </row>
    <row r="55" spans="4:30" x14ac:dyDescent="0.2">
      <c r="D55" t="str">
        <f t="shared" si="4"/>
        <v/>
      </c>
      <c r="F55" s="2" t="str">
        <f t="shared" si="5"/>
        <v/>
      </c>
      <c r="G55" s="2" t="str">
        <f t="shared" ref="G55:AB55" si="9">IF(OR(G$14="",$E55=""),"",F55)</f>
        <v/>
      </c>
      <c r="H55" s="2" t="str">
        <f t="shared" si="9"/>
        <v/>
      </c>
      <c r="I55" s="2" t="str">
        <f t="shared" si="9"/>
        <v/>
      </c>
      <c r="J55" s="2" t="str">
        <f t="shared" si="9"/>
        <v/>
      </c>
      <c r="K55" s="2" t="str">
        <f t="shared" si="9"/>
        <v/>
      </c>
      <c r="L55" s="2" t="str">
        <f t="shared" si="9"/>
        <v/>
      </c>
      <c r="M55" s="2" t="str">
        <f t="shared" si="9"/>
        <v/>
      </c>
      <c r="N55" s="2" t="str">
        <f t="shared" si="9"/>
        <v/>
      </c>
      <c r="O55" s="2" t="str">
        <f t="shared" si="9"/>
        <v/>
      </c>
      <c r="P55" s="2" t="str">
        <f t="shared" si="9"/>
        <v/>
      </c>
      <c r="Q55" s="2" t="str">
        <f t="shared" si="9"/>
        <v/>
      </c>
      <c r="R55" s="2" t="str">
        <f t="shared" si="9"/>
        <v/>
      </c>
      <c r="S55" s="2" t="str">
        <f t="shared" si="9"/>
        <v/>
      </c>
      <c r="T55" s="2" t="str">
        <f t="shared" si="9"/>
        <v/>
      </c>
      <c r="U55" s="2" t="str">
        <f t="shared" si="9"/>
        <v/>
      </c>
      <c r="V55" s="2" t="str">
        <f t="shared" si="9"/>
        <v/>
      </c>
      <c r="W55" s="2" t="str">
        <f t="shared" si="9"/>
        <v/>
      </c>
      <c r="X55" s="2" t="str">
        <f t="shared" si="9"/>
        <v/>
      </c>
      <c r="Y55" s="2" t="str">
        <f t="shared" si="9"/>
        <v/>
      </c>
      <c r="Z55" s="2" t="str">
        <f t="shared" si="9"/>
        <v/>
      </c>
      <c r="AA55" s="2" t="str">
        <f t="shared" si="9"/>
        <v/>
      </c>
      <c r="AB55" s="2" t="str">
        <f t="shared" si="9"/>
        <v/>
      </c>
      <c r="AC55" s="2" t="str">
        <f>IF(OR(AC$14="",$E55=""),"",AB55)</f>
        <v/>
      </c>
      <c r="AD55" s="2" t="str">
        <f>IF(OR(AD$14="",$E55=""),"",AC55)</f>
        <v/>
      </c>
    </row>
    <row r="56" spans="4:30" x14ac:dyDescent="0.2">
      <c r="E56" s="2">
        <v>0</v>
      </c>
      <c r="F56" s="2">
        <f t="shared" si="5"/>
        <v>0</v>
      </c>
    </row>
    <row r="57" spans="4:30" x14ac:dyDescent="0.2">
      <c r="E57" s="2">
        <v>0</v>
      </c>
      <c r="F57" s="2">
        <f t="shared" si="5"/>
        <v>0</v>
      </c>
      <c r="AC57" s="2" t="str">
        <f t="shared" ref="AC57:AD59" si="10">IF(OR(AC$14="",$E57=""),"",AB57)</f>
        <v/>
      </c>
      <c r="AD57" s="2" t="str">
        <f t="shared" si="10"/>
        <v/>
      </c>
    </row>
    <row r="58" spans="4:30" x14ac:dyDescent="0.2">
      <c r="E58" s="2">
        <v>0</v>
      </c>
      <c r="F58" s="2">
        <f t="shared" si="5"/>
        <v>0</v>
      </c>
      <c r="AC58" s="2" t="str">
        <f t="shared" si="10"/>
        <v/>
      </c>
      <c r="AD58" s="2" t="str">
        <f t="shared" si="10"/>
        <v/>
      </c>
    </row>
    <row r="59" spans="4:30" x14ac:dyDescent="0.2">
      <c r="E59" s="2">
        <v>0</v>
      </c>
      <c r="F59" s="2">
        <f t="shared" si="5"/>
        <v>0</v>
      </c>
      <c r="AC59" s="2" t="str">
        <f t="shared" si="10"/>
        <v/>
      </c>
      <c r="AD59" s="2" t="str">
        <f t="shared" si="10"/>
        <v/>
      </c>
    </row>
    <row r="64" spans="4:30" x14ac:dyDescent="0.2">
      <c r="D64" t="str">
        <f>IF(A64&lt;&gt;"","Planned","")</f>
        <v/>
      </c>
    </row>
  </sheetData>
  <conditionalFormatting sqref="A19:AD58 J15:AD18">
    <cfRule type="expression" dxfId="9" priority="3" stopIfTrue="1">
      <formula>$D15="Done"</formula>
    </cfRule>
    <cfRule type="expression" dxfId="8" priority="4" stopIfTrue="1">
      <formula>$D15="Ongoing"</formula>
    </cfRule>
  </conditionalFormatting>
  <conditionalFormatting sqref="F15:I18">
    <cfRule type="expression" dxfId="7" priority="5" stopIfTrue="1">
      <formula>$D15="Done"</formula>
    </cfRule>
    <cfRule type="expression" dxfId="6" priority="6" stopIfTrue="1">
      <formula>$D15="Ongoing"</formula>
    </cfRule>
  </conditionalFormatting>
  <conditionalFormatting sqref="A15:E18">
    <cfRule type="expression" dxfId="5" priority="1" stopIfTrue="1">
      <formula>$D15="Done"</formula>
    </cfRule>
    <cfRule type="expression" dxfId="4" priority="2" stopIfTrue="1">
      <formula>$D15="Ongoing"</formula>
    </cfRule>
  </conditionalFormatting>
  <dataValidations count="1">
    <dataValidation type="list" allowBlank="1" showInputMessage="1" sqref="D3:D8 D15:D64">
      <formula1>"Planned,Ongoing,Done"</formula1>
    </dataValidation>
  </dataValidations>
  <pageMargins left="0.78740157499999996" right="0.78740157499999996" top="0.984251969" bottom="0.984251969" header="0.5" footer="0.5"/>
  <pageSetup paperSize="9" orientation="portrait" r:id="rId1"/>
  <headerFooter alignWithMargins="0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D64"/>
  <sheetViews>
    <sheetView workbookViewId="0">
      <pane ySplit="14" topLeftCell="A15" activePane="bottomLeft" state="frozen"/>
      <selection pane="bottomLeft" activeCell="A15" sqref="A15"/>
    </sheetView>
  </sheetViews>
  <sheetFormatPr baseColWidth="10" defaultColWidth="9.140625" defaultRowHeight="12.75" x14ac:dyDescent="0.2"/>
  <cols>
    <col min="1" max="1" width="38.42578125" customWidth="1"/>
    <col min="2" max="2" width="8.5703125" style="2" customWidth="1"/>
    <col min="3" max="3" width="13.7109375" customWidth="1"/>
    <col min="4" max="4" width="10.85546875" customWidth="1"/>
    <col min="5" max="5" width="6.5703125" style="2" customWidth="1"/>
    <col min="6" max="30" width="4.42578125" style="2" customWidth="1"/>
    <col min="31" max="256" width="11.42578125" customWidth="1"/>
  </cols>
  <sheetData>
    <row r="1" spans="1:30" ht="18" x14ac:dyDescent="0.25">
      <c r="A1" s="31">
        <v>1</v>
      </c>
      <c r="B1" s="37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</row>
    <row r="2" spans="1:30" x14ac:dyDescent="0.2"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</row>
    <row r="9" spans="1:30" x14ac:dyDescent="0.2">
      <c r="A9" s="18" t="s">
        <v>98</v>
      </c>
      <c r="B9" s="36">
        <v>5</v>
      </c>
      <c r="C9" s="18"/>
      <c r="D9" s="16"/>
      <c r="E9" s="20" t="s">
        <v>99</v>
      </c>
      <c r="F9" s="20" t="s">
        <v>100</v>
      </c>
      <c r="G9" s="20"/>
      <c r="H9" s="20"/>
      <c r="I9" s="20"/>
      <c r="J9" s="20"/>
      <c r="K9" s="20"/>
      <c r="L9" s="20"/>
      <c r="M9" s="21"/>
      <c r="N9" s="21"/>
      <c r="O9" s="21"/>
      <c r="P9" s="21"/>
      <c r="Q9" s="21"/>
      <c r="R9" s="21"/>
      <c r="S9" s="21"/>
      <c r="T9" s="21"/>
      <c r="U9" s="21"/>
      <c r="V9" s="21"/>
      <c r="W9" s="21"/>
      <c r="X9" s="21"/>
      <c r="Y9" s="21"/>
      <c r="Z9" s="21"/>
      <c r="AA9" s="21"/>
      <c r="AB9" s="21"/>
      <c r="AC9" s="21"/>
      <c r="AD9" s="21"/>
    </row>
    <row r="10" spans="1:30" x14ac:dyDescent="0.2">
      <c r="A10" s="18" t="s">
        <v>101</v>
      </c>
      <c r="B10" s="36">
        <v>5</v>
      </c>
      <c r="C10" s="18" t="s">
        <v>3</v>
      </c>
      <c r="D10" s="18" t="s">
        <v>102</v>
      </c>
      <c r="E10" s="17">
        <f ca="1">SUM(OFFSET(E14,1,0,TaskRows,1))</f>
        <v>0</v>
      </c>
      <c r="F10" s="17">
        <f ca="1">IF(AND(SUM(OFFSET(F14,1,0,TaskRows,1))=0),0,SUM(OFFSET(F14,1,0,TaskRows,1)))</f>
        <v>0</v>
      </c>
      <c r="G10" s="17" t="str">
        <f t="shared" ref="G10:AD10" ca="1" si="0">IF(AND(SUM(OFFSET(G14,1,0,TaskRows,1))=0),"",SUM(OFFSET(G14,1,0,TaskRows,1)))</f>
        <v/>
      </c>
      <c r="H10" s="17" t="str">
        <f t="shared" ca="1" si="0"/>
        <v/>
      </c>
      <c r="I10" s="17" t="str">
        <f t="shared" ca="1" si="0"/>
        <v/>
      </c>
      <c r="J10" s="17" t="str">
        <f t="shared" ca="1" si="0"/>
        <v/>
      </c>
      <c r="K10" s="17" t="str">
        <f t="shared" ca="1" si="0"/>
        <v/>
      </c>
      <c r="L10" s="17" t="str">
        <f t="shared" ca="1" si="0"/>
        <v/>
      </c>
      <c r="M10" s="17" t="str">
        <f t="shared" ca="1" si="0"/>
        <v/>
      </c>
      <c r="N10" s="17" t="str">
        <f t="shared" ca="1" si="0"/>
        <v/>
      </c>
      <c r="O10" s="17" t="str">
        <f t="shared" ca="1" si="0"/>
        <v/>
      </c>
      <c r="P10" s="17" t="str">
        <f t="shared" ca="1" si="0"/>
        <v/>
      </c>
      <c r="Q10" s="17" t="str">
        <f t="shared" ca="1" si="0"/>
        <v/>
      </c>
      <c r="R10" s="17" t="str">
        <f t="shared" ca="1" si="0"/>
        <v/>
      </c>
      <c r="S10" s="17" t="str">
        <f t="shared" ca="1" si="0"/>
        <v/>
      </c>
      <c r="T10" s="17" t="str">
        <f t="shared" ca="1" si="0"/>
        <v/>
      </c>
      <c r="U10" s="17" t="str">
        <f t="shared" ca="1" si="0"/>
        <v/>
      </c>
      <c r="V10" s="17" t="str">
        <f t="shared" ca="1" si="0"/>
        <v/>
      </c>
      <c r="W10" s="17" t="str">
        <f t="shared" ca="1" si="0"/>
        <v/>
      </c>
      <c r="X10" s="17" t="str">
        <f t="shared" ca="1" si="0"/>
        <v/>
      </c>
      <c r="Y10" s="17" t="str">
        <f t="shared" ca="1" si="0"/>
        <v/>
      </c>
      <c r="Z10" s="17" t="str">
        <f t="shared" ca="1" si="0"/>
        <v/>
      </c>
      <c r="AA10" s="17" t="str">
        <f t="shared" ca="1" si="0"/>
        <v/>
      </c>
      <c r="AB10" s="17" t="str">
        <f t="shared" ca="1" si="0"/>
        <v/>
      </c>
      <c r="AC10" s="17" t="str">
        <f t="shared" ca="1" si="0"/>
        <v/>
      </c>
      <c r="AD10" s="17" t="str">
        <f t="shared" ca="1" si="0"/>
        <v/>
      </c>
    </row>
    <row r="11" spans="1:30" hidden="1" x14ac:dyDescent="0.2">
      <c r="A11" t="s">
        <v>103</v>
      </c>
      <c r="B11" s="2">
        <f>IF(COUNTA(A15:A242)=0,1,COUNTA(A15:A242))</f>
        <v>1</v>
      </c>
      <c r="C11" t="s">
        <v>104</v>
      </c>
      <c r="D11" s="2">
        <f ca="1">IF(COUNTIF(F10:AD10,"&gt;0")=0,1,COUNTIF(F10:AD10,"&gt;0"))</f>
        <v>1</v>
      </c>
      <c r="F11" s="2">
        <f ca="1">IF(F14="","",$E10-$E10/($B9-1)*(F14-1))</f>
        <v>0</v>
      </c>
      <c r="G11" s="2">
        <f t="shared" ref="G11:AD11" ca="1" si="1">IF(G14="","",TotalEffort-TotalEffort/(ImplementationDays)*(G14-1))</f>
        <v>0</v>
      </c>
      <c r="H11" s="2">
        <f t="shared" ca="1" si="1"/>
        <v>0</v>
      </c>
      <c r="I11" s="2">
        <f t="shared" ca="1" si="1"/>
        <v>0</v>
      </c>
      <c r="J11" s="2">
        <f t="shared" ca="1" si="1"/>
        <v>0</v>
      </c>
      <c r="K11" s="2" t="str">
        <f t="shared" si="1"/>
        <v/>
      </c>
      <c r="L11" s="2" t="str">
        <f t="shared" si="1"/>
        <v/>
      </c>
      <c r="M11" s="2" t="str">
        <f t="shared" si="1"/>
        <v/>
      </c>
      <c r="N11" s="2" t="str">
        <f t="shared" si="1"/>
        <v/>
      </c>
      <c r="O11" s="2" t="str">
        <f t="shared" si="1"/>
        <v/>
      </c>
      <c r="P11" s="2" t="str">
        <f t="shared" si="1"/>
        <v/>
      </c>
      <c r="Q11" s="2" t="str">
        <f t="shared" si="1"/>
        <v/>
      </c>
      <c r="R11" s="2" t="str">
        <f t="shared" si="1"/>
        <v/>
      </c>
      <c r="S11" s="2" t="str">
        <f t="shared" si="1"/>
        <v/>
      </c>
      <c r="T11" s="2" t="str">
        <f t="shared" si="1"/>
        <v/>
      </c>
      <c r="U11" s="2" t="str">
        <f t="shared" si="1"/>
        <v/>
      </c>
      <c r="V11" s="2" t="str">
        <f t="shared" si="1"/>
        <v/>
      </c>
      <c r="W11" s="2" t="str">
        <f t="shared" si="1"/>
        <v/>
      </c>
      <c r="X11" s="2" t="str">
        <f t="shared" si="1"/>
        <v/>
      </c>
      <c r="Y11" s="2" t="str">
        <f t="shared" si="1"/>
        <v/>
      </c>
      <c r="Z11" s="2" t="str">
        <f t="shared" si="1"/>
        <v/>
      </c>
      <c r="AA11" s="2" t="str">
        <f t="shared" si="1"/>
        <v/>
      </c>
      <c r="AB11" s="2" t="str">
        <f t="shared" si="1"/>
        <v/>
      </c>
      <c r="AC11" s="2" t="str">
        <f t="shared" si="1"/>
        <v/>
      </c>
      <c r="AD11" s="2" t="str">
        <f t="shared" si="1"/>
        <v/>
      </c>
    </row>
    <row r="12" spans="1:30" hidden="1" x14ac:dyDescent="0.2">
      <c r="A12" s="56" t="s">
        <v>105</v>
      </c>
      <c r="B12"/>
      <c r="C12" t="s">
        <v>68</v>
      </c>
      <c r="D12" s="2"/>
      <c r="F12" s="2">
        <f t="shared" ref="F12:AD12" ca="1" si="2">IF(TREND(OFFSET($F10,0,DoneDays-TrendDays,1,TrendDays),OFFSET($F13,0,DoneDays-TrendDays,1,TrendDays),F13)&lt;0,"",TREND(OFFSET($F10,0,DoneDays-TrendDays,1,TrendDays),OFFSET($F13,0,DoneDays-TrendDays,1,TrendDays),F13))</f>
        <v>0</v>
      </c>
      <c r="G12" s="2">
        <f t="shared" ca="1" si="2"/>
        <v>0</v>
      </c>
      <c r="H12" s="2">
        <f t="shared" ca="1" si="2"/>
        <v>0</v>
      </c>
      <c r="I12" s="2">
        <f t="shared" ca="1" si="2"/>
        <v>0</v>
      </c>
      <c r="J12" s="2">
        <f t="shared" ca="1" si="2"/>
        <v>0</v>
      </c>
      <c r="K12" s="2">
        <f t="shared" ca="1" si="2"/>
        <v>0</v>
      </c>
      <c r="L12" s="2">
        <f t="shared" ca="1" si="2"/>
        <v>0</v>
      </c>
      <c r="M12" s="2">
        <f t="shared" ca="1" si="2"/>
        <v>0</v>
      </c>
      <c r="N12" s="2">
        <f t="shared" ca="1" si="2"/>
        <v>0</v>
      </c>
      <c r="O12" s="2">
        <f t="shared" ca="1" si="2"/>
        <v>0</v>
      </c>
      <c r="P12" s="2">
        <f t="shared" ca="1" si="2"/>
        <v>0</v>
      </c>
      <c r="Q12" s="2">
        <f t="shared" ca="1" si="2"/>
        <v>0</v>
      </c>
      <c r="R12" s="2">
        <f t="shared" ca="1" si="2"/>
        <v>0</v>
      </c>
      <c r="S12" s="2">
        <f t="shared" ca="1" si="2"/>
        <v>0</v>
      </c>
      <c r="T12" s="2">
        <f t="shared" ca="1" si="2"/>
        <v>0</v>
      </c>
      <c r="U12" s="2">
        <f t="shared" ca="1" si="2"/>
        <v>0</v>
      </c>
      <c r="V12" s="2">
        <f t="shared" ca="1" si="2"/>
        <v>0</v>
      </c>
      <c r="W12" s="2">
        <f t="shared" ca="1" si="2"/>
        <v>0</v>
      </c>
      <c r="X12" s="2">
        <f t="shared" ca="1" si="2"/>
        <v>0</v>
      </c>
      <c r="Y12" s="2">
        <f t="shared" ca="1" si="2"/>
        <v>0</v>
      </c>
      <c r="Z12" s="2">
        <f t="shared" ca="1" si="2"/>
        <v>0</v>
      </c>
      <c r="AA12" s="2">
        <f t="shared" ca="1" si="2"/>
        <v>0</v>
      </c>
      <c r="AB12" s="2">
        <f t="shared" ca="1" si="2"/>
        <v>0</v>
      </c>
      <c r="AC12" s="2">
        <f t="shared" ca="1" si="2"/>
        <v>0</v>
      </c>
      <c r="AD12" s="2">
        <f t="shared" ca="1" si="2"/>
        <v>0</v>
      </c>
    </row>
    <row r="13" spans="1:30" hidden="1" x14ac:dyDescent="0.2">
      <c r="A13" s="56" t="s">
        <v>106</v>
      </c>
      <c r="B13"/>
      <c r="C13" t="s">
        <v>107</v>
      </c>
      <c r="D13" s="2">
        <f ca="1">IF(DoneDays&gt;B10,B10,DoneDays)</f>
        <v>1</v>
      </c>
      <c r="F13" s="2">
        <f ca="1">IF(DoneDays&gt;E13,E13+1,"")</f>
        <v>1</v>
      </c>
      <c r="G13" s="2">
        <v>2</v>
      </c>
      <c r="H13" s="2">
        <v>3</v>
      </c>
      <c r="I13" s="2">
        <v>4</v>
      </c>
      <c r="J13" s="2">
        <v>5</v>
      </c>
      <c r="K13" s="2">
        <v>6</v>
      </c>
      <c r="L13" s="2">
        <v>7</v>
      </c>
      <c r="M13" s="2">
        <v>8</v>
      </c>
      <c r="N13" s="2">
        <v>9</v>
      </c>
      <c r="O13" s="2">
        <v>10</v>
      </c>
      <c r="P13" s="2">
        <v>11</v>
      </c>
      <c r="Q13" s="2">
        <v>12</v>
      </c>
      <c r="R13" s="2">
        <v>13</v>
      </c>
      <c r="S13" s="2">
        <v>14</v>
      </c>
      <c r="T13" s="2">
        <v>15</v>
      </c>
      <c r="U13" s="2">
        <v>16</v>
      </c>
      <c r="V13" s="2">
        <v>17</v>
      </c>
      <c r="W13" s="2">
        <v>18</v>
      </c>
      <c r="X13" s="2">
        <v>19</v>
      </c>
      <c r="Y13" s="2">
        <v>20</v>
      </c>
      <c r="Z13" s="2">
        <v>21</v>
      </c>
      <c r="AA13" s="2">
        <v>22</v>
      </c>
      <c r="AB13" s="2">
        <v>23</v>
      </c>
      <c r="AC13" s="2">
        <v>24</v>
      </c>
      <c r="AD13" s="2">
        <v>25</v>
      </c>
    </row>
    <row r="14" spans="1:30" x14ac:dyDescent="0.2">
      <c r="A14" s="18" t="s">
        <v>108</v>
      </c>
      <c r="B14" s="19" t="s">
        <v>18</v>
      </c>
      <c r="C14" s="18" t="s">
        <v>109</v>
      </c>
      <c r="D14" s="18" t="s">
        <v>6</v>
      </c>
      <c r="E14" s="19" t="s">
        <v>110</v>
      </c>
      <c r="F14" s="19">
        <v>1</v>
      </c>
      <c r="G14" s="19">
        <f t="shared" ref="G14:AD14" si="3">IF($B$9&gt;F14,F14+1,"")</f>
        <v>2</v>
      </c>
      <c r="H14" s="19">
        <f t="shared" si="3"/>
        <v>3</v>
      </c>
      <c r="I14" s="19">
        <f t="shared" si="3"/>
        <v>4</v>
      </c>
      <c r="J14" s="19">
        <f t="shared" si="3"/>
        <v>5</v>
      </c>
      <c r="K14" s="19" t="str">
        <f t="shared" si="3"/>
        <v/>
      </c>
      <c r="L14" s="19" t="str">
        <f t="shared" si="3"/>
        <v/>
      </c>
      <c r="M14" s="19" t="str">
        <f t="shared" si="3"/>
        <v/>
      </c>
      <c r="N14" s="19" t="str">
        <f t="shared" si="3"/>
        <v/>
      </c>
      <c r="O14" s="19" t="str">
        <f t="shared" si="3"/>
        <v/>
      </c>
      <c r="P14" s="19" t="str">
        <f t="shared" si="3"/>
        <v/>
      </c>
      <c r="Q14" s="19" t="str">
        <f t="shared" si="3"/>
        <v/>
      </c>
      <c r="R14" s="19" t="str">
        <f t="shared" si="3"/>
        <v/>
      </c>
      <c r="S14" s="19" t="str">
        <f t="shared" si="3"/>
        <v/>
      </c>
      <c r="T14" s="19" t="str">
        <f t="shared" si="3"/>
        <v/>
      </c>
      <c r="U14" s="19" t="str">
        <f t="shared" si="3"/>
        <v/>
      </c>
      <c r="V14" s="19" t="str">
        <f t="shared" si="3"/>
        <v/>
      </c>
      <c r="W14" s="19" t="str">
        <f t="shared" si="3"/>
        <v/>
      </c>
      <c r="X14" s="19" t="str">
        <f t="shared" si="3"/>
        <v/>
      </c>
      <c r="Y14" s="19" t="str">
        <f t="shared" si="3"/>
        <v/>
      </c>
      <c r="Z14" s="19" t="str">
        <f t="shared" si="3"/>
        <v/>
      </c>
      <c r="AA14" s="19" t="str">
        <f t="shared" si="3"/>
        <v/>
      </c>
      <c r="AB14" s="19" t="str">
        <f t="shared" si="3"/>
        <v/>
      </c>
      <c r="AC14" s="19" t="str">
        <f t="shared" si="3"/>
        <v/>
      </c>
      <c r="AD14" s="19" t="str">
        <f t="shared" si="3"/>
        <v/>
      </c>
    </row>
    <row r="15" spans="1:30" x14ac:dyDescent="0.2">
      <c r="D15" t="str">
        <f t="shared" ref="D15:D59" si="4">IF(A15&lt;&gt;"","Planned","")</f>
        <v/>
      </c>
      <c r="F15" s="2" t="str">
        <f t="shared" ref="F15:F59" si="5">IF(OR(F$14="",$E15=""),"",E15)</f>
        <v/>
      </c>
    </row>
    <row r="16" spans="1:30" x14ac:dyDescent="0.2">
      <c r="D16" t="str">
        <f t="shared" si="4"/>
        <v/>
      </c>
      <c r="F16" s="2" t="str">
        <f t="shared" si="5"/>
        <v/>
      </c>
      <c r="AC16" s="2" t="str">
        <f t="shared" ref="AC16:AD35" si="6">IF(OR(AC$14="",$E16=""),"",AB16)</f>
        <v/>
      </c>
      <c r="AD16" s="2" t="str">
        <f t="shared" si="6"/>
        <v/>
      </c>
    </row>
    <row r="17" spans="4:30" x14ac:dyDescent="0.2">
      <c r="D17" t="str">
        <f t="shared" si="4"/>
        <v/>
      </c>
      <c r="F17" s="2" t="str">
        <f t="shared" si="5"/>
        <v/>
      </c>
      <c r="AC17" s="2" t="str">
        <f t="shared" si="6"/>
        <v/>
      </c>
      <c r="AD17" s="2" t="str">
        <f t="shared" si="6"/>
        <v/>
      </c>
    </row>
    <row r="18" spans="4:30" x14ac:dyDescent="0.2">
      <c r="D18" t="str">
        <f t="shared" si="4"/>
        <v/>
      </c>
      <c r="F18" s="2" t="str">
        <f t="shared" si="5"/>
        <v/>
      </c>
      <c r="AC18" s="2" t="str">
        <f t="shared" si="6"/>
        <v/>
      </c>
      <c r="AD18" s="2" t="str">
        <f t="shared" si="6"/>
        <v/>
      </c>
    </row>
    <row r="19" spans="4:30" x14ac:dyDescent="0.2">
      <c r="D19" t="str">
        <f t="shared" si="4"/>
        <v/>
      </c>
      <c r="F19" s="2" t="str">
        <f t="shared" si="5"/>
        <v/>
      </c>
      <c r="AC19" s="2" t="str">
        <f t="shared" si="6"/>
        <v/>
      </c>
      <c r="AD19" s="2" t="str">
        <f t="shared" si="6"/>
        <v/>
      </c>
    </row>
    <row r="20" spans="4:30" x14ac:dyDescent="0.2">
      <c r="D20" t="str">
        <f t="shared" si="4"/>
        <v/>
      </c>
      <c r="F20" s="2" t="str">
        <f t="shared" si="5"/>
        <v/>
      </c>
      <c r="AC20" s="2" t="str">
        <f t="shared" si="6"/>
        <v/>
      </c>
      <c r="AD20" s="2" t="str">
        <f t="shared" si="6"/>
        <v/>
      </c>
    </row>
    <row r="21" spans="4:30" x14ac:dyDescent="0.2">
      <c r="D21" t="str">
        <f t="shared" si="4"/>
        <v/>
      </c>
      <c r="F21" s="2" t="str">
        <f t="shared" si="5"/>
        <v/>
      </c>
      <c r="AC21" s="2" t="str">
        <f t="shared" si="6"/>
        <v/>
      </c>
      <c r="AD21" s="2" t="str">
        <f t="shared" si="6"/>
        <v/>
      </c>
    </row>
    <row r="22" spans="4:30" x14ac:dyDescent="0.2">
      <c r="D22" t="str">
        <f t="shared" si="4"/>
        <v/>
      </c>
      <c r="F22" s="2" t="str">
        <f t="shared" si="5"/>
        <v/>
      </c>
      <c r="AC22" s="2" t="str">
        <f t="shared" si="6"/>
        <v/>
      </c>
      <c r="AD22" s="2" t="str">
        <f t="shared" si="6"/>
        <v/>
      </c>
    </row>
    <row r="23" spans="4:30" x14ac:dyDescent="0.2">
      <c r="D23" t="str">
        <f t="shared" si="4"/>
        <v/>
      </c>
      <c r="F23" s="2" t="str">
        <f t="shared" si="5"/>
        <v/>
      </c>
      <c r="AC23" s="2" t="str">
        <f t="shared" si="6"/>
        <v/>
      </c>
      <c r="AD23" s="2" t="str">
        <f t="shared" si="6"/>
        <v/>
      </c>
    </row>
    <row r="24" spans="4:30" x14ac:dyDescent="0.2">
      <c r="D24" t="str">
        <f t="shared" si="4"/>
        <v/>
      </c>
      <c r="F24" s="2" t="str">
        <f t="shared" si="5"/>
        <v/>
      </c>
      <c r="AC24" s="2" t="str">
        <f t="shared" si="6"/>
        <v/>
      </c>
      <c r="AD24" s="2" t="str">
        <f t="shared" si="6"/>
        <v/>
      </c>
    </row>
    <row r="25" spans="4:30" x14ac:dyDescent="0.2">
      <c r="D25" t="str">
        <f t="shared" si="4"/>
        <v/>
      </c>
      <c r="F25" s="2" t="str">
        <f t="shared" si="5"/>
        <v/>
      </c>
      <c r="AC25" s="2" t="str">
        <f t="shared" si="6"/>
        <v/>
      </c>
      <c r="AD25" s="2" t="str">
        <f t="shared" si="6"/>
        <v/>
      </c>
    </row>
    <row r="26" spans="4:30" x14ac:dyDescent="0.2">
      <c r="D26" t="str">
        <f t="shared" si="4"/>
        <v/>
      </c>
      <c r="F26" s="2" t="str">
        <f t="shared" si="5"/>
        <v/>
      </c>
      <c r="AC26" s="2" t="str">
        <f t="shared" si="6"/>
        <v/>
      </c>
      <c r="AD26" s="2" t="str">
        <f t="shared" si="6"/>
        <v/>
      </c>
    </row>
    <row r="27" spans="4:30" x14ac:dyDescent="0.2">
      <c r="D27" t="str">
        <f t="shared" si="4"/>
        <v/>
      </c>
      <c r="F27" s="2" t="str">
        <f t="shared" si="5"/>
        <v/>
      </c>
      <c r="AC27" s="2" t="str">
        <f t="shared" si="6"/>
        <v/>
      </c>
      <c r="AD27" s="2" t="str">
        <f t="shared" si="6"/>
        <v/>
      </c>
    </row>
    <row r="28" spans="4:30" x14ac:dyDescent="0.2">
      <c r="D28" t="str">
        <f t="shared" si="4"/>
        <v/>
      </c>
      <c r="F28" s="2" t="str">
        <f t="shared" si="5"/>
        <v/>
      </c>
      <c r="AC28" s="2" t="str">
        <f t="shared" si="6"/>
        <v/>
      </c>
      <c r="AD28" s="2" t="str">
        <f t="shared" si="6"/>
        <v/>
      </c>
    </row>
    <row r="29" spans="4:30" x14ac:dyDescent="0.2">
      <c r="D29" t="str">
        <f t="shared" si="4"/>
        <v/>
      </c>
      <c r="F29" s="2" t="str">
        <f t="shared" si="5"/>
        <v/>
      </c>
      <c r="AC29" s="2" t="str">
        <f t="shared" si="6"/>
        <v/>
      </c>
      <c r="AD29" s="2" t="str">
        <f t="shared" si="6"/>
        <v/>
      </c>
    </row>
    <row r="30" spans="4:30" x14ac:dyDescent="0.2">
      <c r="D30" t="str">
        <f t="shared" si="4"/>
        <v/>
      </c>
      <c r="F30" s="2" t="str">
        <f t="shared" si="5"/>
        <v/>
      </c>
      <c r="AC30" s="2" t="str">
        <f t="shared" si="6"/>
        <v/>
      </c>
      <c r="AD30" s="2" t="str">
        <f t="shared" si="6"/>
        <v/>
      </c>
    </row>
    <row r="31" spans="4:30" x14ac:dyDescent="0.2">
      <c r="D31" t="str">
        <f t="shared" si="4"/>
        <v/>
      </c>
      <c r="F31" s="2" t="str">
        <f t="shared" si="5"/>
        <v/>
      </c>
      <c r="AC31" s="2" t="str">
        <f t="shared" si="6"/>
        <v/>
      </c>
      <c r="AD31" s="2" t="str">
        <f t="shared" si="6"/>
        <v/>
      </c>
    </row>
    <row r="32" spans="4:30" x14ac:dyDescent="0.2">
      <c r="D32" t="str">
        <f t="shared" si="4"/>
        <v/>
      </c>
      <c r="F32" s="2" t="str">
        <f t="shared" si="5"/>
        <v/>
      </c>
      <c r="AC32" s="2" t="str">
        <f t="shared" si="6"/>
        <v/>
      </c>
      <c r="AD32" s="2" t="str">
        <f t="shared" si="6"/>
        <v/>
      </c>
    </row>
    <row r="33" spans="4:30" x14ac:dyDescent="0.2">
      <c r="D33" t="str">
        <f t="shared" si="4"/>
        <v/>
      </c>
      <c r="F33" s="2" t="str">
        <f t="shared" si="5"/>
        <v/>
      </c>
      <c r="AC33" s="2" t="str">
        <f t="shared" si="6"/>
        <v/>
      </c>
      <c r="AD33" s="2" t="str">
        <f t="shared" si="6"/>
        <v/>
      </c>
    </row>
    <row r="34" spans="4:30" x14ac:dyDescent="0.2">
      <c r="D34" t="str">
        <f t="shared" si="4"/>
        <v/>
      </c>
      <c r="F34" s="2" t="str">
        <f t="shared" si="5"/>
        <v/>
      </c>
      <c r="AC34" s="2" t="str">
        <f t="shared" si="6"/>
        <v/>
      </c>
      <c r="AD34" s="2" t="str">
        <f t="shared" si="6"/>
        <v/>
      </c>
    </row>
    <row r="35" spans="4:30" x14ac:dyDescent="0.2">
      <c r="D35" t="str">
        <f t="shared" si="4"/>
        <v/>
      </c>
      <c r="F35" s="2" t="str">
        <f t="shared" si="5"/>
        <v/>
      </c>
      <c r="AC35" s="2" t="str">
        <f t="shared" si="6"/>
        <v/>
      </c>
      <c r="AD35" s="2" t="str">
        <f t="shared" si="6"/>
        <v/>
      </c>
    </row>
    <row r="36" spans="4:30" x14ac:dyDescent="0.2">
      <c r="D36" t="str">
        <f t="shared" si="4"/>
        <v/>
      </c>
      <c r="F36" s="2" t="str">
        <f t="shared" si="5"/>
        <v/>
      </c>
      <c r="AC36" s="2" t="str">
        <f t="shared" ref="AC36:AD55" si="7">IF(OR(AC$14="",$E36=""),"",AB36)</f>
        <v/>
      </c>
      <c r="AD36" s="2" t="str">
        <f t="shared" si="7"/>
        <v/>
      </c>
    </row>
    <row r="37" spans="4:30" x14ac:dyDescent="0.2">
      <c r="D37" t="str">
        <f t="shared" si="4"/>
        <v/>
      </c>
      <c r="F37" s="2" t="str">
        <f t="shared" si="5"/>
        <v/>
      </c>
      <c r="AC37" s="2" t="str">
        <f t="shared" si="7"/>
        <v/>
      </c>
      <c r="AD37" s="2" t="str">
        <f t="shared" si="7"/>
        <v/>
      </c>
    </row>
    <row r="38" spans="4:30" x14ac:dyDescent="0.2">
      <c r="D38" t="str">
        <f t="shared" si="4"/>
        <v/>
      </c>
      <c r="F38" s="2" t="str">
        <f t="shared" si="5"/>
        <v/>
      </c>
      <c r="AC38" s="2" t="str">
        <f t="shared" si="7"/>
        <v/>
      </c>
      <c r="AD38" s="2" t="str">
        <f t="shared" si="7"/>
        <v/>
      </c>
    </row>
    <row r="39" spans="4:30" x14ac:dyDescent="0.2">
      <c r="D39" t="str">
        <f t="shared" si="4"/>
        <v/>
      </c>
      <c r="F39" s="2" t="str">
        <f t="shared" si="5"/>
        <v/>
      </c>
      <c r="AC39" s="2" t="str">
        <f t="shared" si="7"/>
        <v/>
      </c>
      <c r="AD39" s="2" t="str">
        <f t="shared" si="7"/>
        <v/>
      </c>
    </row>
    <row r="40" spans="4:30" x14ac:dyDescent="0.2">
      <c r="D40" t="str">
        <f t="shared" si="4"/>
        <v/>
      </c>
      <c r="F40" s="2" t="str">
        <f t="shared" si="5"/>
        <v/>
      </c>
      <c r="AC40" s="2" t="str">
        <f t="shared" si="7"/>
        <v/>
      </c>
      <c r="AD40" s="2" t="str">
        <f t="shared" si="7"/>
        <v/>
      </c>
    </row>
    <row r="41" spans="4:30" x14ac:dyDescent="0.2">
      <c r="D41" t="str">
        <f t="shared" si="4"/>
        <v/>
      </c>
      <c r="F41" s="2" t="str">
        <f t="shared" si="5"/>
        <v/>
      </c>
      <c r="AC41" s="2" t="str">
        <f t="shared" si="7"/>
        <v/>
      </c>
      <c r="AD41" s="2" t="str">
        <f t="shared" si="7"/>
        <v/>
      </c>
    </row>
    <row r="42" spans="4:30" x14ac:dyDescent="0.2">
      <c r="D42" t="str">
        <f t="shared" si="4"/>
        <v/>
      </c>
      <c r="F42" s="2" t="str">
        <f t="shared" si="5"/>
        <v/>
      </c>
      <c r="AC42" s="2" t="str">
        <f t="shared" si="7"/>
        <v/>
      </c>
      <c r="AD42" s="2" t="str">
        <f t="shared" si="7"/>
        <v/>
      </c>
    </row>
    <row r="43" spans="4:30" x14ac:dyDescent="0.2">
      <c r="D43" t="str">
        <f t="shared" si="4"/>
        <v/>
      </c>
      <c r="F43" s="2" t="str">
        <f t="shared" si="5"/>
        <v/>
      </c>
      <c r="AC43" s="2" t="str">
        <f t="shared" si="7"/>
        <v/>
      </c>
      <c r="AD43" s="2" t="str">
        <f t="shared" si="7"/>
        <v/>
      </c>
    </row>
    <row r="44" spans="4:30" x14ac:dyDescent="0.2">
      <c r="D44" t="str">
        <f t="shared" si="4"/>
        <v/>
      </c>
      <c r="F44" s="2" t="str">
        <f t="shared" si="5"/>
        <v/>
      </c>
      <c r="AC44" s="2" t="str">
        <f t="shared" si="7"/>
        <v/>
      </c>
      <c r="AD44" s="2" t="str">
        <f t="shared" si="7"/>
        <v/>
      </c>
    </row>
    <row r="45" spans="4:30" x14ac:dyDescent="0.2">
      <c r="D45" t="str">
        <f t="shared" si="4"/>
        <v/>
      </c>
      <c r="F45" s="2" t="str">
        <f t="shared" si="5"/>
        <v/>
      </c>
      <c r="AC45" s="2" t="str">
        <f t="shared" si="7"/>
        <v/>
      </c>
      <c r="AD45" s="2" t="str">
        <f t="shared" si="7"/>
        <v/>
      </c>
    </row>
    <row r="46" spans="4:30" x14ac:dyDescent="0.2">
      <c r="D46" t="str">
        <f t="shared" si="4"/>
        <v/>
      </c>
      <c r="F46" s="2" t="str">
        <f t="shared" si="5"/>
        <v/>
      </c>
      <c r="AC46" s="2" t="str">
        <f t="shared" si="7"/>
        <v/>
      </c>
      <c r="AD46" s="2" t="str">
        <f t="shared" si="7"/>
        <v/>
      </c>
    </row>
    <row r="47" spans="4:30" x14ac:dyDescent="0.2">
      <c r="D47" t="str">
        <f t="shared" si="4"/>
        <v/>
      </c>
      <c r="F47" s="2" t="str">
        <f t="shared" si="5"/>
        <v/>
      </c>
      <c r="AC47" s="2" t="str">
        <f t="shared" si="7"/>
        <v/>
      </c>
      <c r="AD47" s="2" t="str">
        <f t="shared" si="7"/>
        <v/>
      </c>
    </row>
    <row r="48" spans="4:30" x14ac:dyDescent="0.2">
      <c r="D48" t="str">
        <f t="shared" si="4"/>
        <v/>
      </c>
      <c r="F48" s="2" t="str">
        <f t="shared" si="5"/>
        <v/>
      </c>
      <c r="AC48" s="2" t="str">
        <f t="shared" si="7"/>
        <v/>
      </c>
      <c r="AD48" s="2" t="str">
        <f t="shared" si="7"/>
        <v/>
      </c>
    </row>
    <row r="49" spans="4:30" x14ac:dyDescent="0.2">
      <c r="D49" t="str">
        <f t="shared" si="4"/>
        <v/>
      </c>
      <c r="F49" s="2" t="str">
        <f t="shared" si="5"/>
        <v/>
      </c>
      <c r="AC49" s="2" t="str">
        <f t="shared" si="7"/>
        <v/>
      </c>
      <c r="AD49" s="2" t="str">
        <f t="shared" si="7"/>
        <v/>
      </c>
    </row>
    <row r="50" spans="4:30" x14ac:dyDescent="0.2">
      <c r="D50" t="str">
        <f t="shared" si="4"/>
        <v/>
      </c>
      <c r="F50" s="2" t="str">
        <f t="shared" si="5"/>
        <v/>
      </c>
      <c r="AC50" s="2" t="str">
        <f t="shared" si="7"/>
        <v/>
      </c>
      <c r="AD50" s="2" t="str">
        <f t="shared" si="7"/>
        <v/>
      </c>
    </row>
    <row r="51" spans="4:30" x14ac:dyDescent="0.2">
      <c r="D51" t="str">
        <f t="shared" si="4"/>
        <v/>
      </c>
      <c r="F51" s="2" t="str">
        <f t="shared" si="5"/>
        <v/>
      </c>
      <c r="AC51" s="2" t="str">
        <f t="shared" si="7"/>
        <v/>
      </c>
      <c r="AD51" s="2" t="str">
        <f t="shared" si="7"/>
        <v/>
      </c>
    </row>
    <row r="52" spans="4:30" x14ac:dyDescent="0.2">
      <c r="D52" t="str">
        <f t="shared" si="4"/>
        <v/>
      </c>
      <c r="F52" s="2" t="str">
        <f t="shared" si="5"/>
        <v/>
      </c>
      <c r="AC52" s="2" t="str">
        <f t="shared" si="7"/>
        <v/>
      </c>
      <c r="AD52" s="2" t="str">
        <f t="shared" si="7"/>
        <v/>
      </c>
    </row>
    <row r="53" spans="4:30" x14ac:dyDescent="0.2">
      <c r="D53" t="str">
        <f t="shared" si="4"/>
        <v/>
      </c>
      <c r="F53" s="2" t="str">
        <f t="shared" si="5"/>
        <v/>
      </c>
      <c r="AC53" s="2" t="str">
        <f t="shared" si="7"/>
        <v/>
      </c>
      <c r="AD53" s="2" t="str">
        <f t="shared" si="7"/>
        <v/>
      </c>
    </row>
    <row r="54" spans="4:30" x14ac:dyDescent="0.2">
      <c r="D54" t="str">
        <f t="shared" si="4"/>
        <v/>
      </c>
      <c r="F54" s="2" t="str">
        <f t="shared" si="5"/>
        <v/>
      </c>
      <c r="AC54" s="2" t="str">
        <f t="shared" si="7"/>
        <v/>
      </c>
      <c r="AD54" s="2" t="str">
        <f t="shared" si="7"/>
        <v/>
      </c>
    </row>
    <row r="55" spans="4:30" x14ac:dyDescent="0.2">
      <c r="D55" t="str">
        <f t="shared" si="4"/>
        <v/>
      </c>
      <c r="F55" s="2" t="str">
        <f t="shared" si="5"/>
        <v/>
      </c>
      <c r="AC55" s="2" t="str">
        <f t="shared" si="7"/>
        <v/>
      </c>
      <c r="AD55" s="2" t="str">
        <f t="shared" si="7"/>
        <v/>
      </c>
    </row>
    <row r="56" spans="4:30" x14ac:dyDescent="0.2">
      <c r="D56" t="str">
        <f t="shared" si="4"/>
        <v/>
      </c>
      <c r="F56" s="2" t="str">
        <f t="shared" si="5"/>
        <v/>
      </c>
      <c r="AC56" s="2" t="str">
        <f t="shared" ref="AC56:AD59" si="8">IF(OR(AC$14="",$E56=""),"",AB56)</f>
        <v/>
      </c>
      <c r="AD56" s="2" t="str">
        <f t="shared" si="8"/>
        <v/>
      </c>
    </row>
    <row r="57" spans="4:30" x14ac:dyDescent="0.2">
      <c r="D57" t="str">
        <f t="shared" si="4"/>
        <v/>
      </c>
      <c r="F57" s="2" t="str">
        <f t="shared" si="5"/>
        <v/>
      </c>
      <c r="AC57" s="2" t="str">
        <f t="shared" si="8"/>
        <v/>
      </c>
      <c r="AD57" s="2" t="str">
        <f t="shared" si="8"/>
        <v/>
      </c>
    </row>
    <row r="58" spans="4:30" x14ac:dyDescent="0.2">
      <c r="D58" t="str">
        <f t="shared" si="4"/>
        <v/>
      </c>
      <c r="F58" s="2" t="str">
        <f t="shared" si="5"/>
        <v/>
      </c>
      <c r="G58" s="2" t="str">
        <f t="shared" ref="G58:AB58" si="9">IF(OR(G$14="",$E58=""),"",F58)</f>
        <v/>
      </c>
      <c r="H58" s="2" t="str">
        <f t="shared" si="9"/>
        <v/>
      </c>
      <c r="I58" s="2" t="str">
        <f t="shared" si="9"/>
        <v/>
      </c>
      <c r="J58" s="2" t="str">
        <f t="shared" si="9"/>
        <v/>
      </c>
      <c r="K58" s="2" t="str">
        <f t="shared" si="9"/>
        <v/>
      </c>
      <c r="L58" s="2" t="str">
        <f t="shared" si="9"/>
        <v/>
      </c>
      <c r="M58" s="2" t="str">
        <f t="shared" si="9"/>
        <v/>
      </c>
      <c r="N58" s="2" t="str">
        <f t="shared" si="9"/>
        <v/>
      </c>
      <c r="O58" s="2" t="str">
        <f t="shared" si="9"/>
        <v/>
      </c>
      <c r="P58" s="2" t="str">
        <f t="shared" si="9"/>
        <v/>
      </c>
      <c r="Q58" s="2" t="str">
        <f t="shared" si="9"/>
        <v/>
      </c>
      <c r="R58" s="2" t="str">
        <f t="shared" si="9"/>
        <v/>
      </c>
      <c r="S58" s="2" t="str">
        <f t="shared" si="9"/>
        <v/>
      </c>
      <c r="T58" s="2" t="str">
        <f t="shared" si="9"/>
        <v/>
      </c>
      <c r="U58" s="2" t="str">
        <f t="shared" si="9"/>
        <v/>
      </c>
      <c r="V58" s="2" t="str">
        <f t="shared" si="9"/>
        <v/>
      </c>
      <c r="W58" s="2" t="str">
        <f t="shared" si="9"/>
        <v/>
      </c>
      <c r="X58" s="2" t="str">
        <f t="shared" si="9"/>
        <v/>
      </c>
      <c r="Y58" s="2" t="str">
        <f t="shared" si="9"/>
        <v/>
      </c>
      <c r="Z58" s="2" t="str">
        <f t="shared" si="9"/>
        <v/>
      </c>
      <c r="AA58" s="2" t="str">
        <f t="shared" si="9"/>
        <v/>
      </c>
      <c r="AB58" s="2" t="str">
        <f t="shared" si="9"/>
        <v/>
      </c>
      <c r="AC58" s="2" t="str">
        <f t="shared" si="8"/>
        <v/>
      </c>
      <c r="AD58" s="2" t="str">
        <f t="shared" si="8"/>
        <v/>
      </c>
    </row>
    <row r="59" spans="4:30" x14ac:dyDescent="0.2">
      <c r="D59" t="str">
        <f t="shared" si="4"/>
        <v/>
      </c>
      <c r="F59" s="2" t="str">
        <f t="shared" si="5"/>
        <v/>
      </c>
      <c r="G59" s="2" t="str">
        <f t="shared" ref="G59:AB59" si="10">IF(OR(G$14="",$E59=""),"",F59)</f>
        <v/>
      </c>
      <c r="H59" s="2" t="str">
        <f t="shared" si="10"/>
        <v/>
      </c>
      <c r="I59" s="2" t="str">
        <f t="shared" si="10"/>
        <v/>
      </c>
      <c r="J59" s="2" t="str">
        <f t="shared" si="10"/>
        <v/>
      </c>
      <c r="K59" s="2" t="str">
        <f t="shared" si="10"/>
        <v/>
      </c>
      <c r="L59" s="2" t="str">
        <f t="shared" si="10"/>
        <v/>
      </c>
      <c r="M59" s="2" t="str">
        <f t="shared" si="10"/>
        <v/>
      </c>
      <c r="N59" s="2" t="str">
        <f t="shared" si="10"/>
        <v/>
      </c>
      <c r="O59" s="2" t="str">
        <f t="shared" si="10"/>
        <v/>
      </c>
      <c r="P59" s="2" t="str">
        <f t="shared" si="10"/>
        <v/>
      </c>
      <c r="Q59" s="2" t="str">
        <f t="shared" si="10"/>
        <v/>
      </c>
      <c r="R59" s="2" t="str">
        <f t="shared" si="10"/>
        <v/>
      </c>
      <c r="S59" s="2" t="str">
        <f t="shared" si="10"/>
        <v/>
      </c>
      <c r="T59" s="2" t="str">
        <f t="shared" si="10"/>
        <v/>
      </c>
      <c r="U59" s="2" t="str">
        <f t="shared" si="10"/>
        <v/>
      </c>
      <c r="V59" s="2" t="str">
        <f t="shared" si="10"/>
        <v/>
      </c>
      <c r="W59" s="2" t="str">
        <f t="shared" si="10"/>
        <v/>
      </c>
      <c r="X59" s="2" t="str">
        <f t="shared" si="10"/>
        <v/>
      </c>
      <c r="Y59" s="2" t="str">
        <f t="shared" si="10"/>
        <v/>
      </c>
      <c r="Z59" s="2" t="str">
        <f t="shared" si="10"/>
        <v/>
      </c>
      <c r="AA59" s="2" t="str">
        <f t="shared" si="10"/>
        <v/>
      </c>
      <c r="AB59" s="2" t="str">
        <f t="shared" si="10"/>
        <v/>
      </c>
      <c r="AC59" s="2" t="str">
        <f t="shared" si="8"/>
        <v/>
      </c>
      <c r="AD59" s="2" t="str">
        <f t="shared" si="8"/>
        <v/>
      </c>
    </row>
    <row r="64" spans="4:30" x14ac:dyDescent="0.2">
      <c r="D64" t="str">
        <f>IF(A64&lt;&gt;"","Planned","")</f>
        <v/>
      </c>
    </row>
  </sheetData>
  <phoneticPr fontId="2" type="noConversion"/>
  <conditionalFormatting sqref="A19:AD58 J15:AD18">
    <cfRule type="expression" dxfId="3" priority="1" stopIfTrue="1">
      <formula>$D15="Done"</formula>
    </cfRule>
    <cfRule type="expression" dxfId="2" priority="2" stopIfTrue="1">
      <formula>$D15="Ongoing"</formula>
    </cfRule>
  </conditionalFormatting>
  <conditionalFormatting sqref="A15:I18">
    <cfRule type="expression" dxfId="1" priority="3" stopIfTrue="1">
      <formula>$D15="Done"</formula>
    </cfRule>
    <cfRule type="expression" dxfId="0" priority="4" stopIfTrue="1">
      <formula>$D15="Ongoing"</formula>
    </cfRule>
  </conditionalFormatting>
  <dataValidations count="1">
    <dataValidation type="list" allowBlank="1" showInputMessage="1" sqref="D15:D64 D3:D8">
      <formula1>"Planned,Ongoing,Done"</formula1>
    </dataValidation>
  </dataValidations>
  <pageMargins left="0.78740157499999996" right="0.78740157499999996" top="0.984251969" bottom="0.984251969" header="0.5" footer="0.5"/>
  <pageSetup paperSize="9" orientation="portrait" r:id="rId1"/>
  <headerFooter alignWithMargins="0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2:A10"/>
  <sheetViews>
    <sheetView zoomScale="145" zoomScaleNormal="145" workbookViewId="0"/>
  </sheetViews>
  <sheetFormatPr baseColWidth="10" defaultColWidth="9.140625" defaultRowHeight="12.75" x14ac:dyDescent="0.2"/>
  <cols>
    <col min="1" max="3" width="11.42578125" style="35" customWidth="1"/>
    <col min="4" max="4" width="32.7109375" style="35" customWidth="1"/>
    <col min="5" max="5" width="11.42578125" style="35" customWidth="1"/>
    <col min="6" max="6" width="32.7109375" style="35" customWidth="1"/>
    <col min="7" max="256" width="11.42578125" style="35" customWidth="1"/>
    <col min="257" max="16384" width="9.140625" style="35"/>
  </cols>
  <sheetData>
    <row r="2" ht="89.25" customHeight="1" x14ac:dyDescent="0.2"/>
    <row r="10" ht="89.25" customHeight="1" x14ac:dyDescent="0.2"/>
  </sheetData>
  <phoneticPr fontId="2" type="noConversion"/>
  <pageMargins left="0.19685039370078741" right="0.19685039370078741" top="0.19685039370078741" bottom="0.19685039370078741" header="0.51181102362204722" footer="0.51181102362204722"/>
  <pageSetup paperSize="9" fitToHeight="100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9</vt:i4>
      </vt:variant>
      <vt:variant>
        <vt:lpstr>Plages nommées</vt:lpstr>
      </vt:variant>
      <vt:variant>
        <vt:i4>49</vt:i4>
      </vt:variant>
    </vt:vector>
  </HeadingPairs>
  <TitlesOfParts>
    <vt:vector size="58" baseType="lpstr">
      <vt:lpstr>Release Plan</vt:lpstr>
      <vt:lpstr>Product Backlog</vt:lpstr>
      <vt:lpstr>PB Burndown</vt:lpstr>
      <vt:lpstr>Sp0</vt:lpstr>
      <vt:lpstr>Sp1</vt:lpstr>
      <vt:lpstr>Sp2</vt:lpstr>
      <vt:lpstr>Sp3</vt:lpstr>
      <vt:lpstr>Sprint Sheet Template</vt:lpstr>
      <vt:lpstr>Task Slips</vt:lpstr>
      <vt:lpstr>Sp0!DoneDays</vt:lpstr>
      <vt:lpstr>'Sp1'!DoneDays</vt:lpstr>
      <vt:lpstr>'Sp2'!DoneDays</vt:lpstr>
      <vt:lpstr>'Sp3'!DoneDays</vt:lpstr>
      <vt:lpstr>'Sprint Sheet Template'!DoneDays</vt:lpstr>
      <vt:lpstr>Sp0!ImplementationDays</vt:lpstr>
      <vt:lpstr>'Sp1'!ImplementationDays</vt:lpstr>
      <vt:lpstr>'Sp2'!ImplementationDays</vt:lpstr>
      <vt:lpstr>'Sp3'!ImplementationDays</vt:lpstr>
      <vt:lpstr>'Sprint Sheet Template'!ImplementationDays</vt:lpstr>
      <vt:lpstr>ProductBacklog</vt:lpstr>
      <vt:lpstr>Sprint</vt:lpstr>
      <vt:lpstr>SprintCount</vt:lpstr>
      <vt:lpstr>SprintsInTrend</vt:lpstr>
      <vt:lpstr>Sp0!SprintTasks</vt:lpstr>
      <vt:lpstr>'Sp1'!SprintTasks</vt:lpstr>
      <vt:lpstr>'Sp2'!SprintTasks</vt:lpstr>
      <vt:lpstr>'Sp3'!SprintTasks</vt:lpstr>
      <vt:lpstr>SprintTasks</vt:lpstr>
      <vt:lpstr>Status</vt:lpstr>
      <vt:lpstr>StoryName</vt:lpstr>
      <vt:lpstr>Sp0!TaskRows</vt:lpstr>
      <vt:lpstr>'Sp1'!TaskRows</vt:lpstr>
      <vt:lpstr>'Sp2'!TaskRows</vt:lpstr>
      <vt:lpstr>'Sp3'!TaskRows</vt:lpstr>
      <vt:lpstr>'Sprint Sheet Template'!TaskRows</vt:lpstr>
      <vt:lpstr>Sp0!TaskStatus</vt:lpstr>
      <vt:lpstr>'Sp1'!TaskStatus</vt:lpstr>
      <vt:lpstr>'Sp2'!TaskStatus</vt:lpstr>
      <vt:lpstr>'Sp3'!TaskStatus</vt:lpstr>
      <vt:lpstr>TaskStatus</vt:lpstr>
      <vt:lpstr>Sp0!TaskStoryID</vt:lpstr>
      <vt:lpstr>'Sp1'!TaskStoryID</vt:lpstr>
      <vt:lpstr>'Sp2'!TaskStoryID</vt:lpstr>
      <vt:lpstr>'Sp3'!TaskStoryID</vt:lpstr>
      <vt:lpstr>TaskStoryID</vt:lpstr>
      <vt:lpstr>Sp0!TotalEffort</vt:lpstr>
      <vt:lpstr>'Sp1'!TotalEffort</vt:lpstr>
      <vt:lpstr>'Sp2'!TotalEffort</vt:lpstr>
      <vt:lpstr>'Sp3'!TotalEffort</vt:lpstr>
      <vt:lpstr>'Sprint Sheet Template'!TotalEffort</vt:lpstr>
      <vt:lpstr>Sp0!TrendDays</vt:lpstr>
      <vt:lpstr>'Sp1'!TrendDays</vt:lpstr>
      <vt:lpstr>'Sp2'!TrendDays</vt:lpstr>
      <vt:lpstr>'Sp3'!TrendDays</vt:lpstr>
      <vt:lpstr>TrendDays</vt:lpstr>
      <vt:lpstr>TrendOffset</vt:lpstr>
      <vt:lpstr>TrendSprintCount</vt:lpstr>
      <vt:lpstr>'Product Backlog'!Zone_d_impression</vt:lpstr>
    </vt:vector>
  </TitlesOfParts>
  <Manager/>
  <Company>SysOpen Digia Plc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Iteration Plans</dc:title>
  <dc:subject/>
  <dc:creator>&lt; Your name &gt;</dc:creator>
  <cp:keywords/>
  <dc:description>Template versio 1.0 Approval</dc:description>
  <cp:lastModifiedBy>Comeau, Gael</cp:lastModifiedBy>
  <cp:revision>1</cp:revision>
  <dcterms:created xsi:type="dcterms:W3CDTF">1998-06-05T11:20:44Z</dcterms:created>
  <dcterms:modified xsi:type="dcterms:W3CDTF">2020-02-27T20:05:17Z</dcterms:modified>
  <cp:category>SysOpen Digia Standard Template</cp:category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</Properties>
</file>