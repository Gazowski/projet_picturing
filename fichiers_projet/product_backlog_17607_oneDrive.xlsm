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projet_picturing\fichiers_projet\"/>
    </mc:Choice>
  </mc:AlternateContent>
  <bookViews>
    <workbookView xWindow="-120" yWindow="-120" windowWidth="15600" windowHeight="11760" tabRatio="522" firstSheet="2" activeTab="6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'Sp1'!$A$14:$AD$68</definedName>
    <definedName name="SprintTasks" localSheetId="5">'Sp2'!$A$14:$AD$104</definedName>
    <definedName name="SprintTasks" localSheetId="6">'Sp3'!$A$14:$AD$30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'Sp1'!$D$14:$D$63</definedName>
    <definedName name="TaskStatus" localSheetId="5">'Sp2'!$D$14:$D$99</definedName>
    <definedName name="TaskStatus" localSheetId="6">'Sp3'!$D$14:$D$30</definedName>
    <definedName name="TaskStatus">'Sprint Sheet Template'!$D$14:$D$58</definedName>
    <definedName name="TaskStoryID" localSheetId="3">Sp0!$B$14:$B$53</definedName>
    <definedName name="TaskStoryID" localSheetId="4">'Sp1'!$B$14:$B$58</definedName>
    <definedName name="TaskStoryID" localSheetId="5">'Sp2'!$B$14:$B$94</definedName>
    <definedName name="TaskStoryID" localSheetId="6">'Sp3'!$B$14:$B$30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8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G14" i="23"/>
  <c r="B11" i="23"/>
  <c r="D105" i="22"/>
  <c r="F61" i="22"/>
  <c r="F59" i="22"/>
  <c r="F58" i="22"/>
  <c r="F57" i="22"/>
  <c r="F56" i="22"/>
  <c r="D56" i="22"/>
  <c r="F45" i="22"/>
  <c r="F64" i="22"/>
  <c r="F63" i="22"/>
  <c r="G14" i="22"/>
  <c r="H14" i="22" s="1"/>
  <c r="B11" i="22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E10" i="19" s="1"/>
  <c r="G11" i="19" s="1"/>
  <c r="F15" i="19"/>
  <c r="F28" i="19"/>
  <c r="F33" i="19"/>
  <c r="D35" i="19"/>
  <c r="F35" i="19"/>
  <c r="D36" i="19"/>
  <c r="F36" i="19"/>
  <c r="D69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D11" i="20"/>
  <c r="Q50" i="20" s="1"/>
  <c r="Q41" i="20"/>
  <c r="N41" i="20"/>
  <c r="N38" i="20"/>
  <c r="G20" i="20"/>
  <c r="D9" i="20"/>
  <c r="O34" i="20" s="1"/>
  <c r="N42" i="20"/>
  <c r="N30" i="20"/>
  <c r="G59" i="16"/>
  <c r="N43" i="20"/>
  <c r="N34" i="20"/>
  <c r="Q10" i="16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D22" i="7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N33" i="20"/>
  <c r="N29" i="20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F28" i="20"/>
  <c r="B29" i="20"/>
  <c r="I14" i="16"/>
  <c r="I59" i="16"/>
  <c r="K28" i="20"/>
  <c r="G28" i="20"/>
  <c r="W10" i="16"/>
  <c r="H10" i="16"/>
  <c r="D5" i="7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A24" i="7"/>
  <c r="E24" i="7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16"/>
  <c r="I58" i="16"/>
  <c r="H58" i="16"/>
  <c r="H59" i="16"/>
  <c r="B25" i="7"/>
  <c r="D24" i="7"/>
  <c r="F29" i="20"/>
  <c r="E29" i="20"/>
  <c r="I29" i="20"/>
  <c r="H29" i="20"/>
  <c r="B30" i="20"/>
  <c r="G36" i="19"/>
  <c r="H14" i="19"/>
  <c r="G37" i="19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B26" i="7"/>
  <c r="A25" i="7"/>
  <c r="E25" i="7"/>
  <c r="D25" i="7"/>
  <c r="E31" i="20"/>
  <c r="I31" i="20"/>
  <c r="H31" i="20"/>
  <c r="F31" i="20"/>
  <c r="B32" i="20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E33" i="20"/>
  <c r="B34" i="20"/>
  <c r="I33" i="20"/>
  <c r="H33" i="20"/>
  <c r="F33" i="20"/>
  <c r="D28" i="7"/>
  <c r="A28" i="7"/>
  <c r="E28" i="7"/>
  <c r="B29" i="7"/>
  <c r="K32" i="20"/>
  <c r="G32" i="20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B35" i="20"/>
  <c r="I34" i="20"/>
  <c r="H34" i="20"/>
  <c r="E34" i="20"/>
  <c r="F34" i="20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G35" i="20"/>
  <c r="K35" i="20"/>
  <c r="B37" i="20"/>
  <c r="E36" i="20"/>
  <c r="F36" i="20"/>
  <c r="I36" i="20"/>
  <c r="H36" i="20"/>
  <c r="Q14" i="16"/>
  <c r="P11" i="16"/>
  <c r="P58" i="16"/>
  <c r="P59" i="16"/>
  <c r="Q59" i="16"/>
  <c r="R14" i="16"/>
  <c r="Q11" i="16"/>
  <c r="Q58" i="16"/>
  <c r="E37" i="20"/>
  <c r="F37" i="20"/>
  <c r="B38" i="20"/>
  <c r="I37" i="20"/>
  <c r="H37" i="20"/>
  <c r="G36" i="20"/>
  <c r="K36" i="20"/>
  <c r="R11" i="16"/>
  <c r="S14" i="16"/>
  <c r="R59" i="16"/>
  <c r="R58" i="16"/>
  <c r="K37" i="20"/>
  <c r="G37" i="20"/>
  <c r="B39" i="20"/>
  <c r="E38" i="20"/>
  <c r="I38" i="20"/>
  <c r="H38" i="20"/>
  <c r="F38" i="20"/>
  <c r="G38" i="20"/>
  <c r="K38" i="20"/>
  <c r="T14" i="16"/>
  <c r="S58" i="16"/>
  <c r="S11" i="16"/>
  <c r="S59" i="16"/>
  <c r="B40" i="20"/>
  <c r="E39" i="20"/>
  <c r="F39" i="20"/>
  <c r="I39" i="20"/>
  <c r="H39" i="20"/>
  <c r="G3" i="20"/>
  <c r="G19" i="20"/>
  <c r="E40" i="20"/>
  <c r="F40" i="20"/>
  <c r="I40" i="20"/>
  <c r="H40" i="20"/>
  <c r="B41" i="20"/>
  <c r="T59" i="16"/>
  <c r="T11" i="16"/>
  <c r="T58" i="16"/>
  <c r="U14" i="16"/>
  <c r="K39" i="20"/>
  <c r="G39" i="20"/>
  <c r="F41" i="20"/>
  <c r="I41" i="20"/>
  <c r="H41" i="20"/>
  <c r="B42" i="20"/>
  <c r="E41" i="20"/>
  <c r="K40" i="20"/>
  <c r="G40" i="20"/>
  <c r="V14" i="16"/>
  <c r="U58" i="16"/>
  <c r="U11" i="16"/>
  <c r="U59" i="16"/>
  <c r="E42" i="20"/>
  <c r="F42" i="20"/>
  <c r="I42" i="20"/>
  <c r="H42" i="20"/>
  <c r="B43" i="20"/>
  <c r="G41" i="20"/>
  <c r="K41" i="20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G42" i="20"/>
  <c r="K42" i="20"/>
  <c r="X58" i="16"/>
  <c r="Y14" i="16"/>
  <c r="X11" i="16"/>
  <c r="X59" i="16"/>
  <c r="G43" i="20"/>
  <c r="K43" i="20"/>
  <c r="E44" i="20"/>
  <c r="F44" i="20"/>
  <c r="I44" i="20"/>
  <c r="H44" i="20"/>
  <c r="B45" i="20"/>
  <c r="Z14" i="16"/>
  <c r="Y11" i="16"/>
  <c r="Y58" i="16"/>
  <c r="Y59" i="16"/>
  <c r="F45" i="20"/>
  <c r="E45" i="20"/>
  <c r="I45" i="20"/>
  <c r="H45" i="20"/>
  <c r="B46" i="20"/>
  <c r="K44" i="20"/>
  <c r="G44" i="20"/>
  <c r="I46" i="20"/>
  <c r="H46" i="20"/>
  <c r="B47" i="20"/>
  <c r="E46" i="20"/>
  <c r="F46" i="20"/>
  <c r="K45" i="20"/>
  <c r="G45" i="20"/>
  <c r="Z58" i="16"/>
  <c r="Z11" i="16"/>
  <c r="Z59" i="16"/>
  <c r="AA14" i="16"/>
  <c r="E47" i="20"/>
  <c r="F47" i="20"/>
  <c r="I47" i="20"/>
  <c r="H47" i="20"/>
  <c r="B48" i="20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G47" i="20"/>
  <c r="K47" i="20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H36" i="19"/>
  <c r="I36" i="19"/>
  <c r="G59" i="22" l="1"/>
  <c r="H14" i="23"/>
  <c r="I14" i="23" s="1"/>
  <c r="J14" i="23" s="1"/>
  <c r="K14" i="23" s="1"/>
  <c r="E10" i="23"/>
  <c r="G11" i="23" s="1"/>
  <c r="F10" i="23"/>
  <c r="G10" i="23"/>
  <c r="F10" i="19"/>
  <c r="G10" i="19"/>
  <c r="E10" i="22"/>
  <c r="F11" i="22" s="1"/>
  <c r="F10" i="22"/>
  <c r="I14" i="22"/>
  <c r="H61" i="22"/>
  <c r="H59" i="22"/>
  <c r="G61" i="22"/>
  <c r="H37" i="19"/>
  <c r="I37" i="19" s="1"/>
  <c r="H10" i="19"/>
  <c r="I10" i="19"/>
  <c r="G11" i="24"/>
  <c r="F11" i="24"/>
  <c r="O40" i="20"/>
  <c r="O39" i="20"/>
  <c r="O33" i="20"/>
  <c r="O38" i="20"/>
  <c r="O46" i="20"/>
  <c r="O48" i="20"/>
  <c r="J37" i="19"/>
  <c r="K14" i="19"/>
  <c r="J36" i="19"/>
  <c r="J10" i="19" s="1"/>
  <c r="K11" i="19"/>
  <c r="D11" i="16"/>
  <c r="D13" i="16" s="1"/>
  <c r="J11" i="16"/>
  <c r="H11" i="16"/>
  <c r="G11" i="16"/>
  <c r="F11" i="16"/>
  <c r="O49" i="20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19"/>
  <c r="Q44" i="20"/>
  <c r="I11" i="19"/>
  <c r="J11" i="19"/>
  <c r="F11" i="19"/>
  <c r="L36" i="20"/>
  <c r="L45" i="20"/>
  <c r="L32" i="20"/>
  <c r="L47" i="20"/>
  <c r="L50" i="20"/>
  <c r="L44" i="20"/>
  <c r="L39" i="20"/>
  <c r="L51" i="20"/>
  <c r="L37" i="20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K11" i="23" l="1"/>
  <c r="I11" i="23"/>
  <c r="L14" i="23"/>
  <c r="L11" i="23" s="1"/>
  <c r="H11" i="23"/>
  <c r="F11" i="23"/>
  <c r="J11" i="23"/>
  <c r="J10" i="23"/>
  <c r="L10" i="23"/>
  <c r="I59" i="22"/>
  <c r="M37" i="20"/>
  <c r="G11" i="22"/>
  <c r="I11" i="22"/>
  <c r="H11" i="22"/>
  <c r="J14" i="22"/>
  <c r="I61" i="22"/>
  <c r="H10" i="22"/>
  <c r="G10" i="22"/>
  <c r="F13" i="16"/>
  <c r="H12" i="16" s="1"/>
  <c r="M38" i="20"/>
  <c r="L14" i="19"/>
  <c r="K37" i="19"/>
  <c r="K36" i="19"/>
  <c r="M33" i="20"/>
  <c r="M40" i="20"/>
  <c r="M49" i="20"/>
  <c r="M42" i="20"/>
  <c r="M48" i="20"/>
  <c r="M34" i="20"/>
  <c r="M43" i="20"/>
  <c r="M51" i="20"/>
  <c r="M35" i="20"/>
  <c r="M30" i="20"/>
  <c r="M46" i="20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M14" i="23" l="1"/>
  <c r="N14" i="23" s="1"/>
  <c r="K10" i="23"/>
  <c r="I10" i="23"/>
  <c r="H10" i="23"/>
  <c r="J59" i="22"/>
  <c r="J61" i="22"/>
  <c r="K14" i="22"/>
  <c r="J11" i="22"/>
  <c r="R12" i="16"/>
  <c r="T12" i="16"/>
  <c r="G12" i="16"/>
  <c r="O12" i="16"/>
  <c r="I12" i="16"/>
  <c r="V12" i="16"/>
  <c r="U12" i="16"/>
  <c r="Q12" i="16"/>
  <c r="M12" i="16"/>
  <c r="J10" i="22"/>
  <c r="I10" i="22"/>
  <c r="Y12" i="16"/>
  <c r="AB12" i="16"/>
  <c r="L12" i="16"/>
  <c r="K10" i="19"/>
  <c r="K12" i="16"/>
  <c r="J12" i="16"/>
  <c r="AA12" i="16"/>
  <c r="F12" i="16"/>
  <c r="AD12" i="16"/>
  <c r="AC12" i="16"/>
  <c r="X12" i="16"/>
  <c r="S12" i="16"/>
  <c r="N12" i="16"/>
  <c r="P12" i="16"/>
  <c r="W12" i="16"/>
  <c r="Z12" i="16"/>
  <c r="L37" i="19"/>
  <c r="L36" i="19"/>
  <c r="M14" i="19"/>
  <c r="L11" i="19"/>
  <c r="D12" i="20"/>
  <c r="G9" i="20"/>
  <c r="D22" i="20"/>
  <c r="J58" i="24"/>
  <c r="J59" i="24"/>
  <c r="K14" i="24"/>
  <c r="J11" i="24"/>
  <c r="M10" i="23" l="1"/>
  <c r="M11" i="23"/>
  <c r="N11" i="23"/>
  <c r="O14" i="23"/>
  <c r="K11" i="22"/>
  <c r="L14" i="22"/>
  <c r="K61" i="22"/>
  <c r="K59" i="22"/>
  <c r="K10" i="22" s="1"/>
  <c r="L10" i="19"/>
  <c r="M11" i="19"/>
  <c r="N14" i="19"/>
  <c r="M37" i="19"/>
  <c r="M36" i="19"/>
  <c r="M10" i="19" s="1"/>
  <c r="K59" i="24"/>
  <c r="L14" i="24"/>
  <c r="K11" i="24"/>
  <c r="K58" i="24"/>
  <c r="N10" i="23" l="1"/>
  <c r="O11" i="23"/>
  <c r="P14" i="23"/>
  <c r="L11" i="22"/>
  <c r="L61" i="22"/>
  <c r="L10" i="22" s="1"/>
  <c r="M14" i="22"/>
  <c r="N37" i="19"/>
  <c r="O14" i="19"/>
  <c r="N36" i="19"/>
  <c r="N11" i="19"/>
  <c r="M14" i="24"/>
  <c r="L11" i="24"/>
  <c r="L58" i="24"/>
  <c r="L59" i="24"/>
  <c r="O10" i="23" l="1"/>
  <c r="P10" i="23"/>
  <c r="Q14" i="23"/>
  <c r="P11" i="23"/>
  <c r="M59" i="22"/>
  <c r="M61" i="22"/>
  <c r="M11" i="22"/>
  <c r="N14" i="22"/>
  <c r="N10" i="19"/>
  <c r="P14" i="19"/>
  <c r="O37" i="19"/>
  <c r="O36" i="19"/>
  <c r="O11" i="19"/>
  <c r="M58" i="24"/>
  <c r="M59" i="24"/>
  <c r="M11" i="24"/>
  <c r="N14" i="24"/>
  <c r="Q10" i="23" l="1"/>
  <c r="Q11" i="23"/>
  <c r="R14" i="23"/>
  <c r="M10" i="22"/>
  <c r="O10" i="19"/>
  <c r="N59" i="22"/>
  <c r="N61" i="22"/>
  <c r="O14" i="22"/>
  <c r="N11" i="22"/>
  <c r="P36" i="19"/>
  <c r="P37" i="19"/>
  <c r="P11" i="19"/>
  <c r="Q14" i="19"/>
  <c r="N59" i="24"/>
  <c r="O14" i="24"/>
  <c r="N11" i="24"/>
  <c r="N58" i="24"/>
  <c r="R11" i="23" l="1"/>
  <c r="S14" i="23"/>
  <c r="N10" i="22"/>
  <c r="P14" i="22"/>
  <c r="O59" i="22"/>
  <c r="O10" i="22" s="1"/>
  <c r="O11" i="22"/>
  <c r="Q11" i="19"/>
  <c r="Q37" i="19"/>
  <c r="Q36" i="19"/>
  <c r="R14" i="19"/>
  <c r="P10" i="19"/>
  <c r="O59" i="24"/>
  <c r="P14" i="24"/>
  <c r="O11" i="24"/>
  <c r="O58" i="24"/>
  <c r="T14" i="23" l="1"/>
  <c r="S11" i="23"/>
  <c r="R10" i="23"/>
  <c r="P61" i="22"/>
  <c r="Q14" i="22"/>
  <c r="P11" i="22"/>
  <c r="P59" i="22"/>
  <c r="Q10" i="19"/>
  <c r="S14" i="19"/>
  <c r="R37" i="19"/>
  <c r="R11" i="19"/>
  <c r="R36" i="19"/>
  <c r="Q14" i="24"/>
  <c r="P11" i="24"/>
  <c r="P58" i="24"/>
  <c r="P59" i="24"/>
  <c r="S10" i="23" l="1"/>
  <c r="U14" i="23"/>
  <c r="T11" i="23"/>
  <c r="P10" i="22"/>
  <c r="R14" i="22"/>
  <c r="Q59" i="22"/>
  <c r="Q61" i="22"/>
  <c r="Q11" i="22"/>
  <c r="R10" i="19"/>
  <c r="S36" i="19"/>
  <c r="S11" i="19"/>
  <c r="S37" i="19"/>
  <c r="T14" i="19"/>
  <c r="Q58" i="24"/>
  <c r="Q59" i="24"/>
  <c r="R14" i="24"/>
  <c r="Q11" i="24"/>
  <c r="T10" i="23" l="1"/>
  <c r="U11" i="23"/>
  <c r="V14" i="23"/>
  <c r="Q10" i="22"/>
  <c r="R11" i="22"/>
  <c r="S14" i="22"/>
  <c r="R61" i="22"/>
  <c r="R59" i="22"/>
  <c r="T37" i="19"/>
  <c r="T11" i="19"/>
  <c r="T36" i="19"/>
  <c r="U14" i="19"/>
  <c r="S10" i="19"/>
  <c r="R59" i="24"/>
  <c r="S14" i="24"/>
  <c r="R11" i="24"/>
  <c r="R58" i="24"/>
  <c r="U10" i="23" l="1"/>
  <c r="W14" i="23"/>
  <c r="V11" i="23"/>
  <c r="R10" i="22"/>
  <c r="S61" i="22"/>
  <c r="T14" i="22"/>
  <c r="S59" i="22"/>
  <c r="S10" i="22" s="1"/>
  <c r="S11" i="22"/>
  <c r="U11" i="19"/>
  <c r="U36" i="19"/>
  <c r="U37" i="19"/>
  <c r="V14" i="19"/>
  <c r="T10" i="19"/>
  <c r="S59" i="24"/>
  <c r="T14" i="24"/>
  <c r="S11" i="24"/>
  <c r="S58" i="24"/>
  <c r="V10" i="23" l="1"/>
  <c r="W11" i="23"/>
  <c r="X14" i="23"/>
  <c r="U10" i="19"/>
  <c r="T59" i="22"/>
  <c r="T11" i="22"/>
  <c r="U14" i="22"/>
  <c r="T61" i="22"/>
  <c r="V36" i="19"/>
  <c r="V11" i="19"/>
  <c r="V37" i="19"/>
  <c r="V10" i="19" s="1"/>
  <c r="W14" i="19"/>
  <c r="U14" i="24"/>
  <c r="T11" i="24"/>
  <c r="T58" i="24"/>
  <c r="T59" i="24"/>
  <c r="Y14" i="23" l="1"/>
  <c r="X11" i="23"/>
  <c r="W10" i="23"/>
  <c r="T10" i="22"/>
  <c r="U61" i="22"/>
  <c r="U11" i="22"/>
  <c r="U59" i="22"/>
  <c r="V14" i="22"/>
  <c r="W36" i="19"/>
  <c r="W11" i="19"/>
  <c r="W37" i="19"/>
  <c r="W10" i="19" s="1"/>
  <c r="X14" i="19"/>
  <c r="U58" i="24"/>
  <c r="U59" i="24"/>
  <c r="V14" i="24"/>
  <c r="U11" i="24"/>
  <c r="X10" i="23" l="1"/>
  <c r="U10" i="22"/>
  <c r="Z14" i="23"/>
  <c r="Y11" i="23"/>
  <c r="W14" i="22"/>
  <c r="V11" i="22"/>
  <c r="V59" i="22"/>
  <c r="V61" i="22"/>
  <c r="X11" i="19"/>
  <c r="X36" i="19"/>
  <c r="X37" i="19"/>
  <c r="X10" i="19" s="1"/>
  <c r="Y14" i="19"/>
  <c r="V59" i="24"/>
  <c r="W14" i="24"/>
  <c r="V11" i="24"/>
  <c r="V58" i="24"/>
  <c r="AA14" i="23" l="1"/>
  <c r="Z11" i="23"/>
  <c r="Y10" i="23"/>
  <c r="V10" i="22"/>
  <c r="W11" i="22"/>
  <c r="W61" i="22"/>
  <c r="W59" i="22"/>
  <c r="X14" i="22"/>
  <c r="Y11" i="19"/>
  <c r="Z14" i="19"/>
  <c r="Y36" i="19"/>
  <c r="Y37" i="19"/>
  <c r="W59" i="24"/>
  <c r="X14" i="24"/>
  <c r="W11" i="24"/>
  <c r="W58" i="24"/>
  <c r="W10" i="22" l="1"/>
  <c r="Z10" i="23"/>
  <c r="AB14" i="23"/>
  <c r="AA11" i="23"/>
  <c r="Y14" i="22"/>
  <c r="X61" i="22"/>
  <c r="X59" i="22"/>
  <c r="X11" i="22"/>
  <c r="Y10" i="19"/>
  <c r="Z36" i="19"/>
  <c r="Z37" i="19"/>
  <c r="AA14" i="19"/>
  <c r="Z11" i="19"/>
  <c r="Y14" i="24"/>
  <c r="X11" i="24"/>
  <c r="X58" i="24"/>
  <c r="X59" i="24"/>
  <c r="X10" i="22" l="1"/>
  <c r="AA10" i="23"/>
  <c r="AB11" i="23"/>
  <c r="AC14" i="23"/>
  <c r="Y11" i="22"/>
  <c r="Y61" i="22"/>
  <c r="Y59" i="22"/>
  <c r="Z14" i="22"/>
  <c r="AA37" i="19"/>
  <c r="AA36" i="19"/>
  <c r="AB14" i="19"/>
  <c r="AA11" i="19"/>
  <c r="Z10" i="19"/>
  <c r="Y58" i="24"/>
  <c r="Y59" i="24"/>
  <c r="Z14" i="24"/>
  <c r="Y11" i="24"/>
  <c r="AC26" i="23" l="1"/>
  <c r="AC27" i="23"/>
  <c r="Y10" i="22"/>
  <c r="AB10" i="23"/>
  <c r="AC29" i="23"/>
  <c r="AC22" i="23"/>
  <c r="AC24" i="23"/>
  <c r="AC11" i="23"/>
  <c r="AC25" i="23"/>
  <c r="AC30" i="23"/>
  <c r="AC15" i="23"/>
  <c r="AD14" i="23"/>
  <c r="AC21" i="23"/>
  <c r="AC23" i="23"/>
  <c r="AC28" i="23"/>
  <c r="AC16" i="23"/>
  <c r="Z11" i="22"/>
  <c r="Z59" i="22"/>
  <c r="Z61" i="22"/>
  <c r="AA14" i="22"/>
  <c r="AB11" i="19"/>
  <c r="AB36" i="19"/>
  <c r="AB37" i="19"/>
  <c r="AC14" i="19"/>
  <c r="AA10" i="19"/>
  <c r="Z59" i="24"/>
  <c r="AA14" i="24"/>
  <c r="Z11" i="24"/>
  <c r="Z58" i="24"/>
  <c r="AD26" i="23" l="1"/>
  <c r="AD27" i="23"/>
  <c r="AD16" i="23"/>
  <c r="AD15" i="23"/>
  <c r="AD24" i="23"/>
  <c r="AD30" i="23"/>
  <c r="AD23" i="23"/>
  <c r="AD28" i="23"/>
  <c r="AD29" i="23"/>
  <c r="AD25" i="23"/>
  <c r="AD21" i="23"/>
  <c r="AD22" i="23"/>
  <c r="AD11" i="23"/>
  <c r="Z10" i="22"/>
  <c r="AB14" i="22"/>
  <c r="AA11" i="22"/>
  <c r="AA59" i="22"/>
  <c r="AA61" i="22"/>
  <c r="AB10" i="19"/>
  <c r="AC34" i="19"/>
  <c r="AC37" i="19"/>
  <c r="AC67" i="19"/>
  <c r="AC56" i="19"/>
  <c r="AC43" i="19"/>
  <c r="AD14" i="19"/>
  <c r="AC62" i="19"/>
  <c r="AC42" i="19"/>
  <c r="AC27" i="19"/>
  <c r="AC28" i="19"/>
  <c r="AC36" i="19"/>
  <c r="AC49" i="19"/>
  <c r="AC57" i="19"/>
  <c r="AC61" i="19"/>
  <c r="AC15" i="19"/>
  <c r="AC23" i="19"/>
  <c r="AC54" i="19"/>
  <c r="AC35" i="19"/>
  <c r="AC48" i="19"/>
  <c r="AC46" i="19"/>
  <c r="AC68" i="19"/>
  <c r="AC40" i="19"/>
  <c r="AC58" i="19"/>
  <c r="AC52" i="19"/>
  <c r="AC21" i="19"/>
  <c r="AC47" i="19"/>
  <c r="AC33" i="19"/>
  <c r="AC51" i="19"/>
  <c r="AC44" i="19"/>
  <c r="AC50" i="19"/>
  <c r="AC19" i="19"/>
  <c r="AC65" i="19"/>
  <c r="AC60" i="19"/>
  <c r="AC11" i="19"/>
  <c r="AC66" i="19"/>
  <c r="AC55" i="19"/>
  <c r="AC45" i="19"/>
  <c r="AC64" i="19"/>
  <c r="AC59" i="19"/>
  <c r="AA59" i="24"/>
  <c r="AB14" i="24"/>
  <c r="AA11" i="24"/>
  <c r="AA58" i="24"/>
  <c r="AA10" i="22" l="1"/>
  <c r="AC14" i="22"/>
  <c r="AB59" i="22"/>
  <c r="AB11" i="22"/>
  <c r="AB61" i="22"/>
  <c r="AC10" i="19"/>
  <c r="AD57" i="19"/>
  <c r="AD55" i="19"/>
  <c r="AD49" i="19"/>
  <c r="AD44" i="19"/>
  <c r="AD61" i="19"/>
  <c r="AD67" i="19"/>
  <c r="AD48" i="19"/>
  <c r="AD59" i="19"/>
  <c r="AD65" i="19"/>
  <c r="AD11" i="19"/>
  <c r="AD43" i="19"/>
  <c r="AD35" i="19"/>
  <c r="AD50" i="19"/>
  <c r="AD60" i="19"/>
  <c r="AD37" i="19"/>
  <c r="AD27" i="19"/>
  <c r="AD19" i="19"/>
  <c r="AD64" i="19"/>
  <c r="AD42" i="19"/>
  <c r="AD40" i="19"/>
  <c r="AD51" i="19"/>
  <c r="AD15" i="19"/>
  <c r="AD52" i="19"/>
  <c r="AD28" i="19"/>
  <c r="AD58" i="19"/>
  <c r="AD56" i="19"/>
  <c r="AD36" i="19"/>
  <c r="AD46" i="19"/>
  <c r="AD66" i="19"/>
  <c r="AD34" i="19"/>
  <c r="AD33" i="19"/>
  <c r="AD47" i="19"/>
  <c r="AD21" i="19"/>
  <c r="AD23" i="19"/>
  <c r="AD68" i="19"/>
  <c r="AD45" i="19"/>
  <c r="AD54" i="19"/>
  <c r="AD62" i="19"/>
  <c r="AC14" i="24"/>
  <c r="AB11" i="24"/>
  <c r="AB58" i="24"/>
  <c r="AB59" i="24"/>
  <c r="AB10" i="22" l="1"/>
  <c r="AC20" i="22"/>
  <c r="AC25" i="22"/>
  <c r="AC19" i="22"/>
  <c r="AC65" i="22"/>
  <c r="AC94" i="22"/>
  <c r="AC56" i="22"/>
  <c r="AC11" i="22"/>
  <c r="AC18" i="22"/>
  <c r="AC83" i="22"/>
  <c r="AC89" i="22"/>
  <c r="AC67" i="22"/>
  <c r="AC59" i="22"/>
  <c r="AC95" i="22"/>
  <c r="AC96" i="22"/>
  <c r="AC15" i="22"/>
  <c r="AC21" i="22"/>
  <c r="AC58" i="22"/>
  <c r="AC91" i="22"/>
  <c r="AC90" i="22"/>
  <c r="AC92" i="22"/>
  <c r="AC45" i="22"/>
  <c r="AC61" i="22"/>
  <c r="AC16" i="22"/>
  <c r="AC78" i="22"/>
  <c r="AC43" i="22"/>
  <c r="AC86" i="22"/>
  <c r="AC17" i="22"/>
  <c r="AC84" i="22"/>
  <c r="AC87" i="22"/>
  <c r="AC66" i="22"/>
  <c r="AC99" i="22"/>
  <c r="AC85" i="22"/>
  <c r="AC44" i="22"/>
  <c r="AC98" i="22"/>
  <c r="AC64" i="22"/>
  <c r="AC93" i="22"/>
  <c r="AD14" i="22"/>
  <c r="AC42" i="22"/>
  <c r="AC27" i="22"/>
  <c r="AC97" i="22"/>
  <c r="AC100" i="22"/>
  <c r="AC57" i="22"/>
  <c r="AC88" i="22"/>
  <c r="AD10" i="19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AC10" i="23" l="1"/>
  <c r="AD20" i="22"/>
  <c r="AD25" i="22"/>
  <c r="AD19" i="22"/>
  <c r="AC10" i="22"/>
  <c r="AD99" i="22"/>
  <c r="AD43" i="22"/>
  <c r="AD42" i="22"/>
  <c r="AD83" i="22"/>
  <c r="AD92" i="22"/>
  <c r="AD27" i="22"/>
  <c r="AD15" i="22"/>
  <c r="AD98" i="22"/>
  <c r="AD16" i="22"/>
  <c r="AD90" i="22"/>
  <c r="AD61" i="22"/>
  <c r="AD45" i="22"/>
  <c r="AD86" i="22"/>
  <c r="AD95" i="22"/>
  <c r="AD93" i="22"/>
  <c r="AD21" i="22"/>
  <c r="AD85" i="22"/>
  <c r="AD94" i="22"/>
  <c r="AD91" i="22"/>
  <c r="AD89" i="22"/>
  <c r="AD97" i="22"/>
  <c r="AD66" i="22"/>
  <c r="AD58" i="22"/>
  <c r="AD57" i="22"/>
  <c r="AD88" i="22"/>
  <c r="AD67" i="22"/>
  <c r="AD18" i="22"/>
  <c r="AD56" i="22"/>
  <c r="AD78" i="22"/>
  <c r="AD65" i="22"/>
  <c r="AD100" i="22"/>
  <c r="AD64" i="22"/>
  <c r="AD59" i="22"/>
  <c r="AD84" i="22"/>
  <c r="AD87" i="22"/>
  <c r="AD44" i="22"/>
  <c r="AD17" i="22"/>
  <c r="AD11" i="22"/>
  <c r="AD96" i="22"/>
  <c r="F13" i="19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AD10" i="23" l="1"/>
  <c r="D11" i="23" s="1"/>
  <c r="AD10" i="22"/>
  <c r="D11" i="22" s="1"/>
  <c r="T12" i="19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F13" i="23" l="1"/>
  <c r="D13" i="23"/>
  <c r="D13" i="22"/>
  <c r="F13" i="22"/>
  <c r="F12" i="24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  <c r="J12" i="23" l="1"/>
  <c r="U12" i="23"/>
  <c r="Q12" i="23"/>
  <c r="O12" i="23"/>
  <c r="P12" i="23"/>
  <c r="AC12" i="23"/>
  <c r="H12" i="23"/>
  <c r="L12" i="23"/>
  <c r="T12" i="23"/>
  <c r="V12" i="23"/>
  <c r="X12" i="23"/>
  <c r="I12" i="23"/>
  <c r="R12" i="23"/>
  <c r="AB12" i="23"/>
  <c r="K12" i="23"/>
  <c r="AA12" i="23"/>
  <c r="F12" i="23"/>
  <c r="S12" i="23"/>
  <c r="Z12" i="23"/>
  <c r="G12" i="23"/>
  <c r="M12" i="23"/>
  <c r="N12" i="23"/>
  <c r="W12" i="23"/>
  <c r="AD12" i="23"/>
  <c r="Y12" i="23"/>
  <c r="Y12" i="22"/>
  <c r="U12" i="22"/>
  <c r="Z12" i="22"/>
  <c r="X12" i="22"/>
  <c r="L12" i="22"/>
  <c r="F12" i="22"/>
  <c r="R12" i="22"/>
  <c r="AB12" i="22"/>
  <c r="J12" i="22"/>
  <c r="M12" i="22"/>
  <c r="W12" i="22"/>
  <c r="Q12" i="22"/>
  <c r="G12" i="22"/>
  <c r="S12" i="22"/>
  <c r="P12" i="22"/>
  <c r="H12" i="22"/>
  <c r="K12" i="22"/>
  <c r="O12" i="22"/>
  <c r="AC12" i="22"/>
  <c r="AD12" i="22"/>
  <c r="T12" i="22"/>
  <c r="AA12" i="22"/>
  <c r="N12" i="22"/>
  <c r="V12" i="22"/>
  <c r="I12" i="22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<sst xmlns="http://schemas.openxmlformats.org/spreadsheetml/2006/main" count="513" uniqueCount="232">
  <si>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</si>
  <si>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</si>
  <si>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</si>
  <si>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</si>
  <si>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</si>
  <si>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</si>
  <si>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</si>
  <si>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</si>
  <si>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</si>
  <si>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</si>
  <si>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</si>
  <si>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</si>
  <si>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</si>
  <si>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</si>
  <si>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</si>
  <si>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</si>
  <si>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</si>
  <si>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</si>
  <si>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</si>
  <si>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</si>
  <si>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</si>
  <si>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</si>
  <si>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</si>
  <si>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</si>
  <si>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</si>
  <si>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</si>
  <si>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</si>
  <si>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</si>
  <si>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En tant que Fournisseur, je veux publier une annonce</t>
  </si>
  <si>
    <t>Fournisseur</t>
  </si>
  <si>
    <t>Affichage des annonces</t>
  </si>
  <si>
    <t>Ongoing</t>
  </si>
  <si>
    <t>En tant que Prestataire, je veux consulter les annonces</t>
  </si>
  <si>
    <t xml:space="preserve">soumissionner 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</si>
  <si>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</si>
  <si>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</si>
  <si>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</si>
  <si>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</si>
  <si>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</si>
  <si>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Planned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</si>
  <si>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</si>
  <si>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</si>
  <si>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</si>
  <si>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</si>
  <si>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</si>
  <si>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</si>
  <si>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</si>
  <si>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</si>
  <si>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</si>
  <si>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</si>
  <si>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</si>
  <si>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</si>
  <si>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</si>
  <si>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</si>
  <si>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</si>
  <si>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</si>
  <si>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</si>
  <si>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</si>
  <si>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</si>
  <si>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</si>
  <si>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</si>
  <si>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</si>
  <si>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</si>
  <si>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</si>
  <si>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</si>
  <si>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</si>
  <si>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</si>
  <si>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</si>
  <si>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</si>
  <si>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</si>
  <si>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</si>
  <si>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</si>
  <si>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</si>
  <si>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</si>
  <si>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</si>
  <si>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</si>
  <si>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</si>
  <si>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</si>
  <si>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</si>
  <si>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</si>
  <si>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</si>
  <si>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</si>
  <si>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</si>
  <si>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</si>
  <si>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</si>
  <si>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</si>
  <si>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</si>
  <si>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</si>
  <si>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</si>
  <si>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</si>
  <si>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</si>
  <si>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</si>
  <si>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</si>
  <si>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</si>
  <si>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</si>
  <si>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</si>
  <si>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</si>
  <si>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</si>
  <si>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</si>
  <si>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</si>
  <si>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</si>
  <si>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</si>
  <si>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</si>
  <si>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</si>
  <si>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</si>
  <si>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</si>
  <si>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</si>
  <si>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</si>
  <si>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</si>
  <si>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</si>
  <si>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</si>
  <si>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</si>
  <si>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</si>
  <si>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</si>
  <si>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</si>
  <si>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</si>
  <si>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</si>
  <si>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</si>
  <si>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</si>
  <si>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</si>
  <si>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 xml:space="preserve">vue header + menu : html </t>
  </si>
  <si>
    <t>kervens, gael</t>
  </si>
  <si>
    <t>vue header + menu : css</t>
  </si>
  <si>
    <t>salah,olivier</t>
  </si>
  <si>
    <t>vue footer : html</t>
  </si>
  <si>
    <t>kervens</t>
  </si>
  <si>
    <t xml:space="preserve">vue footer (mobile): css </t>
  </si>
  <si>
    <t>vue tuile : html</t>
  </si>
  <si>
    <t>vue tuile: css</t>
  </si>
  <si>
    <t>vue liste : html</t>
  </si>
  <si>
    <t>kervens,gael</t>
  </si>
  <si>
    <t>vue liste : css</t>
  </si>
  <si>
    <t>salah</t>
  </si>
  <si>
    <t>vue alert: html</t>
  </si>
  <si>
    <t>vue formulaire : html</t>
  </si>
  <si>
    <t>vue formulaire : css</t>
  </si>
  <si>
    <t>db: ajouter des fournisseur</t>
  </si>
  <si>
    <t>gael</t>
  </si>
  <si>
    <t>controleur membre : se connecter</t>
  </si>
  <si>
    <t>controleur membre : activer un membre</t>
  </si>
  <si>
    <t>controleur annonce : ajouter une annonce</t>
  </si>
  <si>
    <t>controleur annonce : voir la liste d'annonces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</si>
  <si>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</si>
  <si>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</si>
  <si>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</si>
  <si>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</si>
  <si>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footer : css</t>
  </si>
  <si>
    <t>done</t>
  </si>
  <si>
    <t>vue alert : html</t>
  </si>
  <si>
    <t>vue alert : css</t>
  </si>
  <si>
    <t xml:space="preserve">     bug : pas d'erreur si la catégorie n'est pas select</t>
  </si>
  <si>
    <t>réorganiser le css en itcss</t>
  </si>
  <si>
    <t xml:space="preserve">    afficher l'annonce</t>
  </si>
  <si>
    <t>olivier</t>
  </si>
  <si>
    <t xml:space="preserve">    faire le css pour la vue annonce</t>
  </si>
  <si>
    <t xml:space="preserve">         vue annonce : ajouter bouton soumissionner</t>
  </si>
  <si>
    <t xml:space="preserve">         vue annonce : liste des messages</t>
  </si>
  <si>
    <t>controleur annonce : soumissionner</t>
  </si>
  <si>
    <t xml:space="preserve">    controleur message : enregistre le message</t>
  </si>
  <si>
    <t xml:space="preserve">    afficher le message dans la vue</t>
  </si>
  <si>
    <t xml:space="preserve">controleur auth : inscription   </t>
  </si>
  <si>
    <t xml:space="preserve">    - ajout bouton s'inscrire dans le form login </t>
  </si>
  <si>
    <t xml:space="preserve">    - mettre en forme le form inscription</t>
  </si>
  <si>
    <t>controleur membre : activer membre</t>
  </si>
  <si>
    <t>script : organiser les fichier js</t>
  </si>
  <si>
    <t>validation annonce</t>
  </si>
  <si>
    <t xml:space="preserve">    ajout colonne annonce dans la table ad</t>
  </si>
  <si>
    <t xml:space="preserve">    modifier model ad pour ne pas afficher les annonces invalides</t>
  </si>
  <si>
    <t xml:space="preserve">    ajout alerte attente activation apres creation annonces</t>
  </si>
  <si>
    <t>ajouter une vue accueil admin</t>
  </si>
  <si>
    <t xml:space="preserve">    accueil admin : html</t>
  </si>
  <si>
    <t xml:space="preserve">    redirection vers accueil admin si user = admin </t>
  </si>
  <si>
    <t>gérer déconnexion</t>
  </si>
  <si>
    <t xml:space="preserve">   ajouter le lien</t>
  </si>
  <si>
    <t xml:space="preserve">   coder la déconnexion (logout sous ion_auth)</t>
  </si>
  <si>
    <t>gérer les accès des utilisateurs non validé</t>
  </si>
  <si>
    <t>gérer les accès suivant le role de l'utilisateur</t>
  </si>
  <si>
    <t xml:space="preserve">   ajouter role dans $_session ou verif le groupe</t>
  </si>
  <si>
    <t xml:space="preserve">   verifier le role pour chaque méthode</t>
  </si>
  <si>
    <t xml:space="preserve">    faire une vue annonce (html)</t>
  </si>
  <si>
    <t xml:space="preserve">    accueil admin : css</t>
  </si>
  <si>
    <t>definir le contenu des menus</t>
  </si>
  <si>
    <t>tester toutes les fonctions</t>
  </si>
  <si>
    <t>tester tous les formulaires</t>
  </si>
  <si>
    <t>les liens des menus sont actifs</t>
  </si>
  <si>
    <t>mettre les filtres opérationnels</t>
  </si>
  <si>
    <t>refaire les menus dynamique</t>
  </si>
  <si>
    <t xml:space="preserve">   fonction modifier une annonce</t>
  </si>
  <si>
    <t>page profil client</t>
  </si>
  <si>
    <t xml:space="preserve">   faire le controlleur profil</t>
  </si>
  <si>
    <t xml:space="preserve">   html profil</t>
  </si>
  <si>
    <t xml:space="preserve">   modif du profil</t>
  </si>
  <si>
    <t>fournisseur : page accueil = mes annonces</t>
  </si>
  <si>
    <t xml:space="preserve">   faire page mes annonces</t>
  </si>
  <si>
    <t xml:space="preserve">   activer liens mes annonces</t>
  </si>
  <si>
    <t xml:space="preserve">   activer liens mes messages</t>
  </si>
  <si>
    <t xml:space="preserve">   ajouter liens créer annonces</t>
  </si>
  <si>
    <t>controleur message : soumissionner</t>
  </si>
  <si>
    <t>Rating</t>
  </si>
  <si>
    <t xml:space="preserve">    lien notation membre</t>
  </si>
  <si>
    <t xml:space="preserve">    afficher la note d'un membre</t>
  </si>
  <si>
    <t xml:space="preserve">    calculer la note d'un membre</t>
  </si>
  <si>
    <t xml:space="preserve">    liste des conversations par membres</t>
  </si>
  <si>
    <t xml:space="preserve">    liste des messages par conversations</t>
  </si>
  <si>
    <t xml:space="preserve">   refaire les menus dynamique</t>
  </si>
  <si>
    <t xml:space="preserve">   les liens des menus sont actifs</t>
  </si>
  <si>
    <t xml:space="preserve">   mettre les filtres opérationnels</t>
  </si>
  <si>
    <t xml:space="preserve">Admin </t>
  </si>
  <si>
    <t xml:space="preserve">    finaliser la vue membre (tableau)</t>
  </si>
  <si>
    <t xml:space="preserve">    ajouter le banissement / débanissement</t>
  </si>
  <si>
    <t xml:space="preserve">    afficher détail au clic sur la ligne de la table</t>
  </si>
  <si>
    <t xml:space="preserve">    afficher les annonces en liste ?</t>
  </si>
  <si>
    <t>dépanner les erreurs (liste github)</t>
  </si>
  <si>
    <t>faire la page a propos</t>
  </si>
  <si>
    <t>filtre : intégrer les filtres au vue liste et tuile</t>
  </si>
  <si>
    <t>vue detail_ad : affichage des photos supplémentaires</t>
  </si>
  <si>
    <t xml:space="preserve">vue detail ad : ajout bouton ajouter annoce </t>
  </si>
  <si>
    <t>ajout annonce : possibilité d'ajouter des photos</t>
  </si>
  <si>
    <t xml:space="preserve">         vue message : liste des conversations</t>
  </si>
  <si>
    <t>planned</t>
  </si>
  <si>
    <t>css a propos</t>
  </si>
  <si>
    <t>adaptation internet explorer</t>
  </si>
  <si>
    <t>ongoing</t>
  </si>
  <si>
    <t>autoriser les accès suivant le role</t>
  </si>
  <si>
    <t>profil membre:</t>
  </si>
  <si>
    <t>activer les liens facebook , twitter , site internet…</t>
  </si>
  <si>
    <t xml:space="preserve">   - fournisseur or : accès par menu</t>
  </si>
  <si>
    <t xml:space="preserve">           -&gt; faire un lien sur les listes</t>
  </si>
  <si>
    <t xml:space="preserve">   - admin : ajouter bouton devenir admin</t>
  </si>
  <si>
    <t xml:space="preserve">   - fournisseur / client : accès par les messages</t>
  </si>
  <si>
    <t>messagerie interne</t>
  </si>
  <si>
    <t xml:space="preserve">   - possibilité de messagerie interne (sans passer par les annonces)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</si>
</sst>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2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4" borderId="0" applyNumberFormat="0" applyBorder="0" applyAlignment="0" applyProtection="0"/>
  </cellStyleXfs>
  <cellXfs count="91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0" fontId="11" fillId="4" borderId="0" xfId="1" applyAlignment="1">
      <alignment vertical="top" wrapText="1"/>
    </xf>
    <xf numFmtId="0" fontId="11" fillId="4" borderId="0" xfId="1" applyAlignment="1">
      <alignment horizontal="center" vertical="top"/>
    </xf>
    <xf numFmtId="0" fontId="11" fillId="4" borderId="0" xfId="1" applyAlignment="1">
      <alignment vertical="top"/>
    </xf>
    <xf numFmtId="0" fontId="0" fillId="0" borderId="0" xfId="0" applyNumberFormat="1" applyAlignment="1">
      <alignment horizontal="center"/>
    </xf>
    <xf numFmtId="0" fontId="11" fillId="4" borderId="0" xfId="1"/>
    <xf numFmtId="0" fontId="11" fillId="4" borderId="0" xfId="1" applyAlignment="1">
      <alignment horizontal="center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2">
    <cellStyle name="Normal" xfId="0" builtinId="0"/>
    <cellStyle name="Satisfaisant" xfId="1" builtinId="26"/>
  </cellStyles>
  <dxfs count="65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24342619390238E-2"/>
          <c:y val="0.87395468116628694"/>
          <c:w val="0.8521827892663314"/>
          <c:h val="0.10602080184103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41</c:v>
                </c:pt>
                <c:pt idx="1">
                  <c:v>35</c:v>
                </c:pt>
                <c:pt idx="2">
                  <c:v>27.5</c:v>
                </c:pt>
                <c:pt idx="3">
                  <c:v>21</c:v>
                </c:pt>
                <c:pt idx="4">
                  <c:v>16.5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49</c:v>
                </c:pt>
                <c:pt idx="1">
                  <c:v>39.200000000000003</c:v>
                </c:pt>
                <c:pt idx="2">
                  <c:v>29.4</c:v>
                </c:pt>
                <c:pt idx="3">
                  <c:v>19.599999999999998</c:v>
                </c:pt>
                <c:pt idx="4">
                  <c:v>9.7999999999999972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40.799999999999997</c:v>
                </c:pt>
                <c:pt idx="1">
                  <c:v>34.5</c:v>
                </c:pt>
                <c:pt idx="2">
                  <c:v>28.199999999999996</c:v>
                </c:pt>
                <c:pt idx="3">
                  <c:v>21.9</c:v>
                </c:pt>
                <c:pt idx="4">
                  <c:v>15.600000000000001</c:v>
                </c:pt>
                <c:pt idx="5">
                  <c:v>9.2999999999999972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84.5</c:v>
                </c:pt>
                <c:pt idx="1">
                  <c:v>75.5</c:v>
                </c:pt>
                <c:pt idx="2">
                  <c:v>70</c:v>
                </c:pt>
                <c:pt idx="3">
                  <c:v>54.5</c:v>
                </c:pt>
                <c:pt idx="4">
                  <c:v>47</c:v>
                </c:pt>
                <c:pt idx="5">
                  <c:v>43.5</c:v>
                </c:pt>
                <c:pt idx="6">
                  <c:v>29</c:v>
                </c:pt>
                <c:pt idx="7">
                  <c:v>20</c:v>
                </c:pt>
                <c:pt idx="8">
                  <c:v>13.5</c:v>
                </c:pt>
                <c:pt idx="9">
                  <c:v>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86.5</c:v>
                </c:pt>
                <c:pt idx="1">
                  <c:v>77.849999999999994</c:v>
                </c:pt>
                <c:pt idx="2">
                  <c:v>69.2</c:v>
                </c:pt>
                <c:pt idx="3">
                  <c:v>60.55</c:v>
                </c:pt>
                <c:pt idx="4">
                  <c:v>51.9</c:v>
                </c:pt>
                <c:pt idx="5">
                  <c:v>43.25</c:v>
                </c:pt>
                <c:pt idx="6">
                  <c:v>34.599999999999994</c:v>
                </c:pt>
                <c:pt idx="7">
                  <c:v>25.949999999999996</c:v>
                </c:pt>
                <c:pt idx="8">
                  <c:v>17.299999999999997</c:v>
                </c:pt>
                <c:pt idx="9">
                  <c:v>8.6499999999999915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83.35</c:v>
                </c:pt>
                <c:pt idx="1">
                  <c:v>74.7</c:v>
                </c:pt>
                <c:pt idx="2">
                  <c:v>66.05</c:v>
                </c:pt>
                <c:pt idx="3">
                  <c:v>57.4</c:v>
                </c:pt>
                <c:pt idx="4">
                  <c:v>48.75</c:v>
                </c:pt>
                <c:pt idx="5">
                  <c:v>40.099999999999994</c:v>
                </c:pt>
                <c:pt idx="6">
                  <c:v>31.449999999999996</c:v>
                </c:pt>
                <c:pt idx="7">
                  <c:v>22.799999999999997</c:v>
                </c:pt>
                <c:pt idx="8">
                  <c:v>14.149999999999991</c:v>
                </c:pt>
                <c:pt idx="9">
                  <c:v>5.5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78</c:v>
                </c:pt>
                <c:pt idx="1">
                  <c:v>41</c:v>
                </c:pt>
                <c:pt idx="2">
                  <c:v>29</c:v>
                </c:pt>
                <c:pt idx="3">
                  <c:v>15</c:v>
                </c:pt>
                <c:pt idx="4">
                  <c:v>8</c:v>
                </c:pt>
                <c:pt idx="5">
                  <c:v>6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75</c:v>
                </c:pt>
                <c:pt idx="1">
                  <c:v>67.5</c:v>
                </c:pt>
                <c:pt idx="2">
                  <c:v>60</c:v>
                </c:pt>
                <c:pt idx="3">
                  <c:v>52.5</c:v>
                </c:pt>
                <c:pt idx="4">
                  <c:v>45</c:v>
                </c:pt>
                <c:pt idx="5">
                  <c:v>37.5</c:v>
                </c:pt>
                <c:pt idx="6">
                  <c:v>30</c:v>
                </c:pt>
                <c:pt idx="7">
                  <c:v>22.5</c:v>
                </c:pt>
                <c:pt idx="8">
                  <c:v>15</c:v>
                </c:pt>
                <c:pt idx="9">
                  <c:v>7.5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9.0095238095238113</c:v>
                </c:pt>
                <c:pt idx="1">
                  <c:v>8.495238095238097</c:v>
                </c:pt>
                <c:pt idx="2">
                  <c:v>7.9809523809523819</c:v>
                </c:pt>
                <c:pt idx="3">
                  <c:v>7.4666666666666677</c:v>
                </c:pt>
                <c:pt idx="4">
                  <c:v>6.9523809523809534</c:v>
                </c:pt>
                <c:pt idx="5">
                  <c:v>6.4380952380952383</c:v>
                </c:pt>
                <c:pt idx="6">
                  <c:v>5.9238095238095241</c:v>
                </c:pt>
                <c:pt idx="7">
                  <c:v>5.4095238095238098</c:v>
                </c:pt>
                <c:pt idx="8">
                  <c:v>4.8952380952380956</c:v>
                </c:pt>
                <c:pt idx="9">
                  <c:v>4.3809523809523814</c:v>
                </c:pt>
                <c:pt idx="10">
                  <c:v>3.8666666666666663</c:v>
                </c:pt>
                <c:pt idx="11">
                  <c:v>3.352380952380952</c:v>
                </c:pt>
                <c:pt idx="12">
                  <c:v>2.8380952380952378</c:v>
                </c:pt>
                <c:pt idx="13">
                  <c:v>2.3238095238095227</c:v>
                </c:pt>
                <c:pt idx="14">
                  <c:v>1.8095238095238084</c:v>
                </c:pt>
                <c:pt idx="15">
                  <c:v>1.2952380952380942</c:v>
                </c:pt>
                <c:pt idx="16">
                  <c:v>0.78095238095237995</c:v>
                </c:pt>
                <c:pt idx="17">
                  <c:v>0.26666666666666572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64" priority="1" stopIfTrue="1">
      <formula>$F4="Planned"</formula>
    </cfRule>
    <cfRule type="expression" dxfId="63" priority="2" stopIfTrue="1">
      <formula>$F4="Ongoing"</formula>
    </cfRule>
  </conditionalFormatting>
  <conditionalFormatting sqref="F4:F10 F16:F30">
    <cfRule type="expression" dxfId="62" priority="3" stopIfTrue="1">
      <formula>$F4="Planned"</formula>
    </cfRule>
    <cfRule type="expression" dxfId="61" priority="4" stopIfTrue="1">
      <formula>$F4="Ongoing"</formula>
    </cfRule>
    <cfRule type="cellIs" dxfId="60" priority="5" stopIfTrue="1" operator="equal">
      <formula>"Unplanned"</formula>
    </cfRule>
  </conditionalFormatting>
  <conditionalFormatting sqref="E4 G16:H30 A16:E30">
    <cfRule type="expression" dxfId="59" priority="6" stopIfTrue="1">
      <formula>OR($F4="Planned",$F4="Unplanned")</formula>
    </cfRule>
    <cfRule type="expression" dxfId="58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4"/>
  <sheetViews>
    <sheetView zoomScale="110" zoomScaleNormal="110" workbookViewId="0">
      <pane ySplit="4" topLeftCell="A5" activePane="bottomLeft" state="frozen"/>
      <selection pane="bottomLeft" activeCell="E14" sqref="E14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x14ac:dyDescent="0.2">
      <c r="D2" s="77"/>
    </row>
    <row r="4" spans="1:8" ht="13.5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 x14ac:dyDescent="0.2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4" t="s">
        <v>26</v>
      </c>
    </row>
    <row r="6" spans="1:8" ht="25.5" x14ac:dyDescent="0.2">
      <c r="A6">
        <v>3</v>
      </c>
      <c r="B6" s="32" t="s">
        <v>27</v>
      </c>
      <c r="C6" s="34" t="s">
        <v>24</v>
      </c>
      <c r="E6" s="34">
        <v>1</v>
      </c>
      <c r="F6" s="34">
        <v>2</v>
      </c>
      <c r="G6" s="32" t="s">
        <v>28</v>
      </c>
      <c r="H6" s="79" t="s">
        <v>29</v>
      </c>
    </row>
    <row r="7" spans="1:8" ht="25.5" x14ac:dyDescent="0.2">
      <c r="A7">
        <v>5</v>
      </c>
      <c r="B7" s="32" t="s">
        <v>30</v>
      </c>
      <c r="C7" s="34" t="s">
        <v>31</v>
      </c>
      <c r="E7" s="34">
        <v>2</v>
      </c>
      <c r="F7" s="34">
        <v>2</v>
      </c>
      <c r="G7" s="79" t="s">
        <v>32</v>
      </c>
      <c r="H7" s="79" t="s">
        <v>26</v>
      </c>
    </row>
    <row r="8" spans="1:8" ht="25.5" x14ac:dyDescent="0.2">
      <c r="A8">
        <v>6</v>
      </c>
      <c r="B8" s="32" t="s">
        <v>33</v>
      </c>
      <c r="C8" s="34" t="s">
        <v>31</v>
      </c>
      <c r="E8" s="34">
        <v>2</v>
      </c>
      <c r="F8" s="34">
        <v>3</v>
      </c>
      <c r="G8" s="79" t="s">
        <v>34</v>
      </c>
      <c r="H8" s="79" t="s">
        <v>26</v>
      </c>
    </row>
    <row r="9" spans="1:8" ht="42.75" customHeight="1" x14ac:dyDescent="0.2">
      <c r="A9">
        <v>7</v>
      </c>
      <c r="B9" s="32" t="s">
        <v>35</v>
      </c>
      <c r="C9" s="34" t="s">
        <v>31</v>
      </c>
      <c r="E9" s="34">
        <v>2</v>
      </c>
      <c r="F9" s="34">
        <v>2</v>
      </c>
      <c r="G9" s="79" t="s">
        <v>36</v>
      </c>
      <c r="H9" s="32" t="s">
        <v>37</v>
      </c>
    </row>
    <row r="10" spans="1:8" ht="30.75" customHeight="1" x14ac:dyDescent="0.2">
      <c r="A10">
        <v>8</v>
      </c>
      <c r="B10" s="82" t="s">
        <v>38</v>
      </c>
      <c r="C10" s="83" t="s">
        <v>147</v>
      </c>
      <c r="D10" s="83"/>
      <c r="E10" s="83">
        <v>2</v>
      </c>
      <c r="F10" s="83">
        <v>3</v>
      </c>
      <c r="G10" s="82" t="s">
        <v>40</v>
      </c>
      <c r="H10" s="84" t="s">
        <v>37</v>
      </c>
    </row>
    <row r="11" spans="1:8" ht="38.25" x14ac:dyDescent="0.2">
      <c r="A11">
        <v>9</v>
      </c>
      <c r="B11" s="32" t="s">
        <v>41</v>
      </c>
      <c r="C11" s="34" t="s">
        <v>39</v>
      </c>
      <c r="E11" s="34">
        <v>3</v>
      </c>
      <c r="F11" s="34">
        <v>3</v>
      </c>
      <c r="G11" s="79" t="s">
        <v>42</v>
      </c>
      <c r="H11" s="79" t="s">
        <v>29</v>
      </c>
    </row>
    <row r="12" spans="1:8" ht="26.25" customHeight="1" x14ac:dyDescent="0.2">
      <c r="A12">
        <v>10</v>
      </c>
      <c r="B12" s="32" t="s">
        <v>43</v>
      </c>
      <c r="C12" s="34" t="s">
        <v>39</v>
      </c>
      <c r="E12" s="34">
        <v>3</v>
      </c>
      <c r="F12" s="34">
        <v>3</v>
      </c>
      <c r="G12" s="32" t="s">
        <v>44</v>
      </c>
      <c r="H12" s="35" t="s">
        <v>37</v>
      </c>
    </row>
    <row r="13" spans="1:8" x14ac:dyDescent="0.2">
      <c r="A13" s="34">
        <v>11</v>
      </c>
      <c r="B13" s="32" t="s">
        <v>45</v>
      </c>
      <c r="C13" s="34" t="s">
        <v>24</v>
      </c>
      <c r="E13" s="34">
        <v>1</v>
      </c>
      <c r="F13" s="34">
        <v>1</v>
      </c>
    </row>
    <row r="14" spans="1:8" x14ac:dyDescent="0.2">
      <c r="A14" s="34">
        <v>12</v>
      </c>
      <c r="B14" s="32" t="s">
        <v>46</v>
      </c>
      <c r="C14" s="34" t="s">
        <v>31</v>
      </c>
      <c r="E14" s="34">
        <v>1</v>
      </c>
      <c r="F14" s="34">
        <v>1</v>
      </c>
    </row>
    <row r="30" spans="2:2" x14ac:dyDescent="0.2">
      <c r="B30" s="35"/>
    </row>
    <row r="38" spans="7:10" x14ac:dyDescent="0.2">
      <c r="J38" s="75"/>
    </row>
    <row r="43" spans="7:10" x14ac:dyDescent="0.2">
      <c r="G43" s="76"/>
    </row>
    <row r="54" spans="1:6" x14ac:dyDescent="0.2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57" priority="117" stopIfTrue="1">
      <formula>$C4="Done"</formula>
    </cfRule>
    <cfRule type="expression" dxfId="56" priority="118" stopIfTrue="1">
      <formula>$C4="Ongoing"</formula>
    </cfRule>
    <cfRule type="expression" dxfId="55" priority="119" stopIfTrue="1">
      <formula>$C4="Removed"</formula>
    </cfRule>
  </conditionalFormatting>
  <conditionalFormatting sqref="G54">
    <cfRule type="expression" dxfId="54" priority="120" stopIfTrue="1">
      <formula>$C44="Done"</formula>
    </cfRule>
    <cfRule type="expression" dxfId="53" priority="121" stopIfTrue="1">
      <formula>$C44="Ongoing"</formula>
    </cfRule>
    <cfRule type="expression" dxfId="52" priority="122" stopIfTrue="1">
      <formula>$C44="Removed"</formula>
    </cfRule>
  </conditionalFormatting>
  <conditionalFormatting sqref="G43:G44">
    <cfRule type="expression" dxfId="51" priority="123" stopIfTrue="1">
      <formula>#REF!="Done"</formula>
    </cfRule>
    <cfRule type="expression" dxfId="50" priority="124" stopIfTrue="1">
      <formula>#REF!="Ongoing"</formula>
    </cfRule>
    <cfRule type="expression" dxfId="49" priority="125" stopIfTrue="1">
      <formula>#REF!="Removed"</formula>
    </cfRule>
  </conditionalFormatting>
  <conditionalFormatting sqref="G23">
    <cfRule type="expression" dxfId="48" priority="126" stopIfTrue="1">
      <formula>#REF!="Done"</formula>
    </cfRule>
    <cfRule type="expression" dxfId="47" priority="127" stopIfTrue="1">
      <formula>#REF!="Ongoing"</formula>
    </cfRule>
    <cfRule type="expression" dxfId="46" priority="128" stopIfTrue="1">
      <formula>#REF!="Removed"</formula>
    </cfRule>
  </conditionalFormatting>
  <conditionalFormatting sqref="H4">
    <cfRule type="expression" dxfId="45" priority="114" stopIfTrue="1">
      <formula>$C4="Done"</formula>
    </cfRule>
    <cfRule type="expression" dxfId="44" priority="115" stopIfTrue="1">
      <formula>$C4="Ongoing"</formula>
    </cfRule>
    <cfRule type="expression" dxfId="43" priority="116" stopIfTrue="1">
      <formula>$C4="Removed"</formula>
    </cfRule>
  </conditionalFormatting>
  <conditionalFormatting sqref="A5:A12">
    <cfRule type="expression" dxfId="42" priority="16" stopIfTrue="1">
      <formula>$D5="Done"</formula>
    </cfRule>
    <cfRule type="expression" dxfId="41" priority="17" stopIfTrue="1">
      <formula>$D5="Ongoing"</formula>
    </cfRule>
  </conditionalFormatting>
  <conditionalFormatting sqref="G5">
    <cfRule type="expression" dxfId="40" priority="13" stopIfTrue="1">
      <formula>$C5="Done"</formula>
    </cfRule>
    <cfRule type="expression" dxfId="39" priority="14" stopIfTrue="1">
      <formula>$C5="Ongoing"</formula>
    </cfRule>
    <cfRule type="expression" dxfId="38" priority="15" stopIfTrue="1">
      <formula>$C5="Removed"</formula>
    </cfRule>
  </conditionalFormatting>
  <conditionalFormatting sqref="B5">
    <cfRule type="expression" dxfId="37" priority="7" stopIfTrue="1">
      <formula>$C5="Done"</formula>
    </cfRule>
    <cfRule type="expression" dxfId="36" priority="8" stopIfTrue="1">
      <formula>$C5="Ongoing"</formula>
    </cfRule>
    <cfRule type="expression" dxfId="35" priority="9" stopIfTrue="1">
      <formula>$C5="Removed"</formula>
    </cfRule>
  </conditionalFormatting>
  <conditionalFormatting sqref="D5:F5">
    <cfRule type="expression" dxfId="34" priority="4" stopIfTrue="1">
      <formula>$C5="Done"</formula>
    </cfRule>
    <cfRule type="expression" dxfId="33" priority="5" stopIfTrue="1">
      <formula>$C5="Ongoing"</formula>
    </cfRule>
    <cfRule type="expression" dxfId="32" priority="6" stopIfTrue="1">
      <formula>$C5="Removed"</formula>
    </cfRule>
  </conditionalFormatting>
  <conditionalFormatting sqref="H5">
    <cfRule type="expression" dxfId="31" priority="1" stopIfTrue="1">
      <formula>$C5="Done"</formula>
    </cfRule>
    <cfRule type="expression" dxfId="30" priority="2" stopIfTrue="1">
      <formula>$C5="Ongoing"</formula>
    </cfRule>
    <cfRule type="expression" dxfId="29" priority="3" stopIfTrue="1">
      <formula>$C5="Removed"</formula>
    </cfRule>
  </conditionalFormatting>
  <dataValidations count="1">
    <dataValidation type="list" allowBlank="1" showInputMessage="1" sqref="C55:C164 C11:C53 C4:C7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13"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47</v>
      </c>
    </row>
    <row r="3" spans="1:26" x14ac:dyDescent="0.2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 x14ac:dyDescent="0.2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 x14ac:dyDescent="0.2">
      <c r="F5" t="s">
        <v>53</v>
      </c>
      <c r="G5" s="55">
        <f>IF(G4&gt;D4,G4-D4,0)</f>
        <v>0</v>
      </c>
      <c r="Z5" s="38" t="s">
        <v>54</v>
      </c>
    </row>
    <row r="6" spans="1:26" x14ac:dyDescent="0.2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 x14ac:dyDescent="0.2">
      <c r="A7" t="s">
        <v>58</v>
      </c>
      <c r="D7">
        <v>35</v>
      </c>
      <c r="Z7" s="38" t="s">
        <v>59</v>
      </c>
    </row>
    <row r="8" spans="1:26" x14ac:dyDescent="0.2">
      <c r="A8" s="88">
        <f>D$4</f>
        <v>3</v>
      </c>
      <c r="B8" s="88"/>
      <c r="D8" s="58" t="str">
        <f ca="1">IF(D28="","",AVERAGE(OFFSET(D27,TrendOffset,0,SprintsInTrend,1)))</f>
        <v/>
      </c>
      <c r="Z8" s="38" t="s">
        <v>60</v>
      </c>
    </row>
    <row r="9" spans="1:26" x14ac:dyDescent="0.2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 x14ac:dyDescent="0.2">
      <c r="A10" t="s">
        <v>64</v>
      </c>
      <c r="D10" s="58" t="str">
        <f>IF(D28="","",AVERAGE(LastEight))</f>
        <v/>
      </c>
      <c r="Z10" s="38" t="s">
        <v>65</v>
      </c>
    </row>
    <row r="11" spans="1:26" x14ac:dyDescent="0.2">
      <c r="A11" t="s">
        <v>66</v>
      </c>
      <c r="D11" s="58" t="str">
        <f>IF(D28="","",IF(TrendSprintCount&lt;4,D10,AVERAGE(SMALL(LastEight,1),SMALL(LastEight,2),SMALL(LastEight,3))))</f>
        <v/>
      </c>
      <c r="Z11" s="38" t="s">
        <v>67</v>
      </c>
    </row>
    <row r="12" spans="1:26" x14ac:dyDescent="0.2">
      <c r="A12" t="s">
        <v>68</v>
      </c>
      <c r="D12" s="58" t="str">
        <f ca="1">IF(M29="","",M28-M29)</f>
        <v/>
      </c>
      <c r="Z12" s="38" t="s">
        <v>69</v>
      </c>
    </row>
    <row r="13" spans="1:26" x14ac:dyDescent="0.2">
      <c r="F13" s="56" t="s">
        <v>70</v>
      </c>
      <c r="Z13" s="38" t="s">
        <v>71</v>
      </c>
    </row>
    <row r="14" spans="1:26" x14ac:dyDescent="0.2">
      <c r="A14" s="1" t="s">
        <v>72</v>
      </c>
    </row>
    <row r="15" spans="1:26" x14ac:dyDescent="0.2">
      <c r="A15" t="s">
        <v>73</v>
      </c>
      <c r="D15" s="59">
        <f>IF(D7="",0,ROUNDUP(D3/D7*0.6,0))</f>
        <v>2</v>
      </c>
    </row>
    <row r="16" spans="1:26" x14ac:dyDescent="0.2">
      <c r="A16" t="s">
        <v>74</v>
      </c>
      <c r="D16" s="59">
        <f>IF(D7="",0,ROUNDUP(D3/D7,0))</f>
        <v>3</v>
      </c>
    </row>
    <row r="17" spans="1:17" x14ac:dyDescent="0.2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 x14ac:dyDescent="0.2">
      <c r="A18" s="88">
        <f>D$4</f>
        <v>3</v>
      </c>
      <c r="B18" s="88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 x14ac:dyDescent="0.2">
      <c r="A20" t="s">
        <v>64</v>
      </c>
      <c r="D20" s="59" t="str">
        <f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 x14ac:dyDescent="0.2">
      <c r="A21" t="s">
        <v>66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68</v>
      </c>
      <c r="D22" s="59" t="str">
        <f ca="1">IF(COUNT(M28:M51)-1&gt;0,COUNT(M28:M51)-1,"")</f>
        <v/>
      </c>
    </row>
    <row r="23" spans="1:17" x14ac:dyDescent="0.2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90" t="s">
        <v>68</v>
      </c>
      <c r="G26" s="90"/>
      <c r="H26" s="90"/>
      <c r="I26" s="90"/>
      <c r="J26" s="90"/>
      <c r="K26" s="90"/>
      <c r="L26" s="90"/>
      <c r="M26" s="90"/>
      <c r="N26" s="90"/>
      <c r="O26" s="90" t="s">
        <v>82</v>
      </c>
      <c r="P26" s="90"/>
      <c r="Q26" s="90"/>
    </row>
    <row r="27" spans="1:17" s="3" customFormat="1" ht="26.25" thickBot="1" x14ac:dyDescent="0.25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9" t="s">
        <v>88</v>
      </c>
      <c r="H27" s="89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28" priority="1" stopIfTrue="1">
      <formula>$D26="Done"</formula>
    </cfRule>
    <cfRule type="expression" dxfId="27" priority="2" stopIfTrue="1">
      <formula>$D26="Ongoing"</formula>
    </cfRule>
    <cfRule type="expression" dxfId="26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workbookViewId="0">
      <pane ySplit="14" topLeftCell="A15" activePane="bottomLeft" state="frozen"/>
      <selection pane="bottomLeft" activeCell="C26" sqref="C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 x14ac:dyDescent="0.2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25" priority="1" stopIfTrue="1">
      <formula>$D15="Done"</formula>
    </cfRule>
    <cfRule type="expression" dxfId="24" priority="2" stopIfTrue="1">
      <formula>$D15="Ongoing"</formula>
    </cfRule>
  </conditionalFormatting>
  <conditionalFormatting sqref="A15:I18">
    <cfRule type="expression" dxfId="23" priority="3" stopIfTrue="1">
      <formula>$D15="Done"</formula>
    </cfRule>
    <cfRule type="expression" dxfId="22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92"/>
  <sheetViews>
    <sheetView zoomScale="120" zoomScaleNormal="120" workbookViewId="0">
      <pane ySplit="14" topLeftCell="A15" activePane="bottomLeft" state="frozen"/>
      <selection pane="bottomLeft" activeCell="B26" sqref="B26"/>
    </sheetView>
  </sheetViews>
  <sheetFormatPr baseColWidth="10" defaultColWidth="9.140625" defaultRowHeight="12.75" x14ac:dyDescent="0.2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49</v>
      </c>
      <c r="F10" s="71">
        <f ca="1">IF(AND(SUM(OFFSET(F14,1,0,TaskRows,1))=0),0,SUM(OFFSET(F14,1,0,TaskRows,1)))</f>
        <v>41</v>
      </c>
      <c r="G10" s="71">
        <f t="shared" ref="G10:AD10" ca="1" si="0">IF(AND(SUM(OFFSET(G14,1,0,TaskRows,1))=0),"",SUM(OFFSET(G14,1,0,TaskRows,1)))</f>
        <v>35</v>
      </c>
      <c r="H10" s="71">
        <f t="shared" ca="1" si="0"/>
        <v>27.5</v>
      </c>
      <c r="I10" s="71">
        <f t="shared" ca="1" si="0"/>
        <v>21</v>
      </c>
      <c r="J10" s="71">
        <f t="shared" ca="1" si="0"/>
        <v>16.5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103</v>
      </c>
      <c r="B11" s="2">
        <f>IF(COUNTA(A15:A247)=0,1,COUNTA(A15:A247))</f>
        <v>23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49</v>
      </c>
      <c r="G11" s="2">
        <f t="shared" ref="G11:AD11" ca="1" si="1">IF(G14="","",TotalEffort-TotalEffort/(ImplementationDays)*(G14-1))</f>
        <v>39.200000000000003</v>
      </c>
      <c r="H11" s="2">
        <f t="shared" ca="1" si="1"/>
        <v>29.4</v>
      </c>
      <c r="I11" s="2">
        <f t="shared" ca="1" si="1"/>
        <v>19.599999999999998</v>
      </c>
      <c r="J11" s="2">
        <f t="shared" ca="1" si="1"/>
        <v>9.7999999999999972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40.799999999999997</v>
      </c>
      <c r="G12" s="2">
        <f t="shared" ca="1" si="2"/>
        <v>34.5</v>
      </c>
      <c r="H12" s="2">
        <f t="shared" ca="1" si="2"/>
        <v>28.199999999999996</v>
      </c>
      <c r="I12" s="2">
        <f t="shared" ca="1" si="2"/>
        <v>21.9</v>
      </c>
      <c r="J12" s="2">
        <f t="shared" ca="1" si="2"/>
        <v>15.600000000000001</v>
      </c>
      <c r="K12" s="2">
        <f t="shared" ca="1" si="2"/>
        <v>9.2999999999999972</v>
      </c>
      <c r="L12" s="2">
        <f t="shared" ca="1" si="2"/>
        <v>3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 x14ac:dyDescent="0.2">
      <c r="A17" s="35" t="s">
        <v>120</v>
      </c>
      <c r="B17" s="34">
        <v>5</v>
      </c>
      <c r="C17" t="s">
        <v>121</v>
      </c>
      <c r="D17" s="35" t="s">
        <v>31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 x14ac:dyDescent="0.2">
      <c r="A18" s="35" t="s">
        <v>122</v>
      </c>
      <c r="B18" s="34">
        <v>5</v>
      </c>
      <c r="C18" t="s">
        <v>123</v>
      </c>
      <c r="D18" s="35" t="s">
        <v>31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 x14ac:dyDescent="0.2">
      <c r="A19" s="35" t="s">
        <v>124</v>
      </c>
      <c r="B19" s="34">
        <v>5</v>
      </c>
      <c r="C19" t="s">
        <v>125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7" si="4">IF(OR(AC$14="",$E19=""),"",AB19)</f>
        <v/>
      </c>
      <c r="AD19" s="34" t="str">
        <f t="shared" si="4"/>
        <v/>
      </c>
    </row>
    <row r="20" spans="1:30" x14ac:dyDescent="0.2">
      <c r="A20" s="35" t="s">
        <v>126</v>
      </c>
      <c r="B20" s="34">
        <v>5</v>
      </c>
      <c r="C20" t="s">
        <v>123</v>
      </c>
      <c r="D20" s="35" t="s">
        <v>31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 x14ac:dyDescent="0.2">
      <c r="A21" s="35" t="s">
        <v>127</v>
      </c>
      <c r="B21" s="34">
        <v>5</v>
      </c>
      <c r="C21" t="s">
        <v>125</v>
      </c>
      <c r="D21" s="35" t="s">
        <v>24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0</v>
      </c>
      <c r="AC21" s="34" t="str">
        <f t="shared" si="4"/>
        <v/>
      </c>
      <c r="AD21" s="34" t="str">
        <f t="shared" si="4"/>
        <v/>
      </c>
    </row>
    <row r="22" spans="1:30" x14ac:dyDescent="0.2">
      <c r="A22" s="35" t="s">
        <v>128</v>
      </c>
      <c r="B22" s="34">
        <v>5</v>
      </c>
      <c r="C22" t="s">
        <v>123</v>
      </c>
      <c r="D22" s="35" t="s">
        <v>24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</v>
      </c>
    </row>
    <row r="23" spans="1:30" x14ac:dyDescent="0.2">
      <c r="A23" s="35" t="s">
        <v>129</v>
      </c>
      <c r="B23" s="34">
        <v>5</v>
      </c>
      <c r="C23" t="s">
        <v>130</v>
      </c>
      <c r="D23" s="35" t="s">
        <v>31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 x14ac:dyDescent="0.2">
      <c r="A24" s="35" t="s">
        <v>131</v>
      </c>
      <c r="B24" s="34">
        <v>5</v>
      </c>
      <c r="C24" t="s">
        <v>132</v>
      </c>
      <c r="D24" s="35" t="s">
        <v>39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 x14ac:dyDescent="0.2">
      <c r="A25" s="35" t="s">
        <v>133</v>
      </c>
      <c r="C25"/>
    </row>
    <row r="26" spans="1:30" x14ac:dyDescent="0.2">
      <c r="A26" s="35" t="s">
        <v>133</v>
      </c>
      <c r="C26"/>
    </row>
    <row r="27" spans="1:30" x14ac:dyDescent="0.2">
      <c r="A27" s="35" t="s">
        <v>134</v>
      </c>
      <c r="B27" s="34">
        <v>3</v>
      </c>
      <c r="C27" t="s">
        <v>121</v>
      </c>
      <c r="D27" s="35" t="s">
        <v>31</v>
      </c>
      <c r="E27" s="34">
        <v>3</v>
      </c>
      <c r="F27" s="34">
        <v>3</v>
      </c>
      <c r="G27" s="34">
        <v>3</v>
      </c>
      <c r="H27" s="34">
        <v>2</v>
      </c>
      <c r="I27" s="34">
        <v>1</v>
      </c>
      <c r="J27" s="34">
        <v>1</v>
      </c>
      <c r="AC27" s="34" t="str">
        <f t="shared" si="4"/>
        <v/>
      </c>
      <c r="AD27" s="34" t="str">
        <f t="shared" si="4"/>
        <v/>
      </c>
    </row>
    <row r="28" spans="1:30" ht="15" customHeight="1" x14ac:dyDescent="0.2">
      <c r="A28" s="35" t="s">
        <v>135</v>
      </c>
      <c r="B28" s="34">
        <v>3</v>
      </c>
      <c r="C28" t="s">
        <v>123</v>
      </c>
      <c r="D28" s="35" t="s">
        <v>31</v>
      </c>
      <c r="E28" s="34">
        <v>5</v>
      </c>
      <c r="F28" s="34">
        <f t="shared" ref="F28:F36" si="5">IF(OR(F$14="",$E28=""),"",E28)</f>
        <v>5</v>
      </c>
      <c r="G28" s="34">
        <v>5</v>
      </c>
      <c r="H28" s="34">
        <v>3</v>
      </c>
      <c r="I28" s="34">
        <v>2</v>
      </c>
      <c r="J28" s="34">
        <v>2</v>
      </c>
      <c r="AC28" s="34" t="str">
        <f t="shared" si="4"/>
        <v/>
      </c>
      <c r="AD28" s="34" t="str">
        <f t="shared" si="4"/>
        <v/>
      </c>
    </row>
    <row r="29" spans="1:30" ht="15" customHeight="1" x14ac:dyDescent="0.2">
      <c r="C29"/>
    </row>
    <row r="30" spans="1:30" ht="15" customHeight="1" x14ac:dyDescent="0.2">
      <c r="A30" s="35" t="s">
        <v>136</v>
      </c>
      <c r="B30" s="34">
        <v>3</v>
      </c>
      <c r="C30" t="s">
        <v>137</v>
      </c>
      <c r="D30" s="35" t="s">
        <v>31</v>
      </c>
      <c r="E30" s="34">
        <v>1</v>
      </c>
      <c r="F30" s="34">
        <v>1</v>
      </c>
      <c r="G30" s="34">
        <v>1</v>
      </c>
      <c r="H30" s="34">
        <v>1</v>
      </c>
      <c r="I30" s="34">
        <v>0.5</v>
      </c>
      <c r="J30" s="34">
        <v>0.5</v>
      </c>
    </row>
    <row r="31" spans="1:30" ht="15" customHeight="1" x14ac:dyDescent="0.2">
      <c r="A31" s="35" t="s">
        <v>138</v>
      </c>
      <c r="B31" s="34">
        <v>3</v>
      </c>
      <c r="C31" t="s">
        <v>137</v>
      </c>
      <c r="D31" s="35" t="s">
        <v>31</v>
      </c>
      <c r="E31" s="34">
        <v>2</v>
      </c>
      <c r="F31" s="34">
        <v>2</v>
      </c>
      <c r="G31" s="34">
        <v>2</v>
      </c>
      <c r="H31" s="34">
        <v>2</v>
      </c>
      <c r="I31" s="34">
        <v>1</v>
      </c>
      <c r="J31" s="34">
        <v>1</v>
      </c>
    </row>
    <row r="32" spans="1:30" ht="15" customHeight="1" x14ac:dyDescent="0.2">
      <c r="A32" s="35" t="s">
        <v>139</v>
      </c>
      <c r="B32" s="34">
        <v>3</v>
      </c>
      <c r="C32" t="s">
        <v>137</v>
      </c>
      <c r="D32" s="35" t="s">
        <v>31</v>
      </c>
      <c r="E32" s="34">
        <v>3</v>
      </c>
      <c r="F32" s="34">
        <v>3</v>
      </c>
      <c r="G32" s="34">
        <v>3</v>
      </c>
      <c r="H32" s="34">
        <v>3</v>
      </c>
      <c r="I32" s="34">
        <v>2</v>
      </c>
      <c r="J32" s="34">
        <v>2</v>
      </c>
    </row>
    <row r="33" spans="1:30" x14ac:dyDescent="0.2">
      <c r="A33" s="35" t="s">
        <v>140</v>
      </c>
      <c r="B33" s="34">
        <v>3</v>
      </c>
      <c r="C33" t="s">
        <v>137</v>
      </c>
      <c r="D33" s="35" t="s">
        <v>31</v>
      </c>
      <c r="E33" s="34">
        <v>3</v>
      </c>
      <c r="F33" s="34">
        <f t="shared" si="5"/>
        <v>3</v>
      </c>
      <c r="G33" s="34">
        <v>3</v>
      </c>
      <c r="H33" s="34">
        <v>2</v>
      </c>
      <c r="I33" s="34">
        <v>2</v>
      </c>
      <c r="J33" s="34">
        <v>1</v>
      </c>
      <c r="AC33" s="34" t="str">
        <f t="shared" si="4"/>
        <v/>
      </c>
      <c r="AD33" s="34" t="str">
        <f t="shared" si="4"/>
        <v/>
      </c>
    </row>
    <row r="34" spans="1:30" x14ac:dyDescent="0.2">
      <c r="A34" s="35" t="s">
        <v>141</v>
      </c>
      <c r="B34" s="34">
        <v>5</v>
      </c>
      <c r="C34" t="s">
        <v>125</v>
      </c>
      <c r="D34" s="35" t="s">
        <v>24</v>
      </c>
      <c r="E34" s="34">
        <v>2</v>
      </c>
      <c r="F34" s="34">
        <v>0</v>
      </c>
      <c r="G34" s="34">
        <v>0</v>
      </c>
      <c r="H34" s="34">
        <v>0</v>
      </c>
      <c r="I34" s="34">
        <v>0</v>
      </c>
      <c r="J34" s="34">
        <v>0</v>
      </c>
      <c r="AC34" s="34" t="str">
        <f t="shared" si="4"/>
        <v/>
      </c>
      <c r="AD34" s="34" t="str">
        <f t="shared" si="4"/>
        <v/>
      </c>
    </row>
    <row r="35" spans="1:30" x14ac:dyDescent="0.2">
      <c r="A35" s="35" t="s">
        <v>142</v>
      </c>
      <c r="B35" s="34">
        <v>5</v>
      </c>
      <c r="C35"/>
      <c r="D35" s="35" t="str">
        <f t="shared" ref="D35:D38" si="6">IF(A35&lt;&gt;"","Planned","")</f>
        <v>Planned</v>
      </c>
      <c r="F35" s="34" t="str">
        <f t="shared" si="5"/>
        <v/>
      </c>
      <c r="AC35" s="34" t="str">
        <f t="shared" si="4"/>
        <v/>
      </c>
      <c r="AD35" s="34" t="str">
        <f t="shared" si="4"/>
        <v/>
      </c>
    </row>
    <row r="36" spans="1:30" x14ac:dyDescent="0.2">
      <c r="A36" s="35" t="s">
        <v>143</v>
      </c>
      <c r="B36" s="34">
        <v>5</v>
      </c>
      <c r="C36"/>
      <c r="D36" s="35" t="str">
        <f t="shared" si="6"/>
        <v>Planned</v>
      </c>
      <c r="F36" s="34" t="str">
        <f t="shared" si="5"/>
        <v/>
      </c>
      <c r="G36" s="34" t="str">
        <f t="shared" ref="G36:AB36" si="7">IF(OR(G$14="",$E36=""),"",F36)</f>
        <v/>
      </c>
      <c r="H36" s="34" t="str">
        <f t="shared" si="7"/>
        <v/>
      </c>
      <c r="I36" s="34" t="str">
        <f t="shared" si="7"/>
        <v/>
      </c>
      <c r="J36" s="34" t="str">
        <f t="shared" si="7"/>
        <v/>
      </c>
      <c r="K36" s="34" t="str">
        <f t="shared" si="7"/>
        <v/>
      </c>
      <c r="L36" s="34" t="str">
        <f t="shared" si="7"/>
        <v/>
      </c>
      <c r="M36" s="34" t="str">
        <f t="shared" si="7"/>
        <v/>
      </c>
      <c r="N36" s="34" t="str">
        <f t="shared" si="7"/>
        <v/>
      </c>
      <c r="O36" s="34" t="str">
        <f t="shared" si="7"/>
        <v/>
      </c>
      <c r="P36" s="34" t="str">
        <f t="shared" si="7"/>
        <v/>
      </c>
      <c r="Q36" s="34" t="str">
        <f t="shared" si="7"/>
        <v/>
      </c>
      <c r="R36" s="34" t="str">
        <f t="shared" si="7"/>
        <v/>
      </c>
      <c r="S36" s="34" t="str">
        <f t="shared" si="7"/>
        <v/>
      </c>
      <c r="T36" s="34" t="str">
        <f t="shared" si="7"/>
        <v/>
      </c>
      <c r="U36" s="34" t="str">
        <f t="shared" si="7"/>
        <v/>
      </c>
      <c r="V36" s="34" t="str">
        <f t="shared" si="7"/>
        <v/>
      </c>
      <c r="W36" s="34" t="str">
        <f t="shared" si="7"/>
        <v/>
      </c>
      <c r="X36" s="34" t="str">
        <f t="shared" si="7"/>
        <v/>
      </c>
      <c r="Y36" s="34" t="str">
        <f t="shared" si="7"/>
        <v/>
      </c>
      <c r="Z36" s="34" t="str">
        <f t="shared" si="7"/>
        <v/>
      </c>
      <c r="AA36" s="34" t="str">
        <f t="shared" si="7"/>
        <v/>
      </c>
      <c r="AB36" s="34" t="str">
        <f t="shared" si="7"/>
        <v/>
      </c>
      <c r="AC36" s="34" t="str">
        <f t="shared" si="4"/>
        <v/>
      </c>
      <c r="AD36" s="34" t="str">
        <f t="shared" si="4"/>
        <v/>
      </c>
    </row>
    <row r="37" spans="1:30" x14ac:dyDescent="0.2">
      <c r="A37" s="35" t="s">
        <v>144</v>
      </c>
      <c r="B37" s="34">
        <v>5</v>
      </c>
      <c r="C37" t="s">
        <v>125</v>
      </c>
      <c r="D37" s="35" t="s">
        <v>31</v>
      </c>
      <c r="E37" s="34">
        <v>2</v>
      </c>
      <c r="F37" s="34">
        <v>1</v>
      </c>
      <c r="G37" s="34">
        <f t="shared" ref="G37:AB37" si="8">IF(OR(G$14="",$E37=""),"",F37)</f>
        <v>1</v>
      </c>
      <c r="H37" s="34">
        <f t="shared" si="8"/>
        <v>1</v>
      </c>
      <c r="I37" s="34">
        <f t="shared" si="8"/>
        <v>1</v>
      </c>
      <c r="J37" s="34">
        <f t="shared" si="8"/>
        <v>1</v>
      </c>
      <c r="K37" s="34" t="str">
        <f t="shared" si="8"/>
        <v/>
      </c>
      <c r="L37" s="34" t="str">
        <f t="shared" si="8"/>
        <v/>
      </c>
      <c r="M37" s="34" t="str">
        <f t="shared" si="8"/>
        <v/>
      </c>
      <c r="N37" s="34" t="str">
        <f t="shared" si="8"/>
        <v/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  <c r="Z37" s="34" t="str">
        <f t="shared" si="8"/>
        <v/>
      </c>
      <c r="AA37" s="34" t="str">
        <f t="shared" si="8"/>
        <v/>
      </c>
      <c r="AB37" s="34" t="str">
        <f t="shared" si="8"/>
        <v/>
      </c>
      <c r="AC37" s="34" t="str">
        <f t="shared" si="4"/>
        <v/>
      </c>
      <c r="AD37" s="34" t="str">
        <f t="shared" si="4"/>
        <v/>
      </c>
    </row>
    <row r="38" spans="1:30" x14ac:dyDescent="0.2">
      <c r="A38" s="35" t="s">
        <v>145</v>
      </c>
      <c r="B38" s="2"/>
      <c r="C38"/>
      <c r="D38" s="35" t="str">
        <f t="shared" si="6"/>
        <v>Planned</v>
      </c>
      <c r="E38" s="2"/>
      <c r="F38" s="2"/>
      <c r="G38" s="2"/>
      <c r="H38" s="2"/>
      <c r="I38" s="2"/>
    </row>
    <row r="39" spans="1:30" x14ac:dyDescent="0.2">
      <c r="A39"/>
      <c r="B39" s="2"/>
      <c r="C39"/>
      <c r="D39"/>
      <c r="E39" s="2"/>
      <c r="F39" s="2"/>
      <c r="G39" s="2"/>
      <c r="H39" s="2"/>
      <c r="I39" s="2"/>
    </row>
    <row r="40" spans="1:30" x14ac:dyDescent="0.2">
      <c r="A40"/>
      <c r="B40" s="2"/>
      <c r="C40"/>
      <c r="D40"/>
      <c r="E40" s="2"/>
      <c r="F40" s="2"/>
      <c r="G40" s="2"/>
      <c r="H40" s="2"/>
      <c r="I40" s="2"/>
      <c r="AC40" s="34" t="str">
        <f>IF(OR(AC$14="",$E40=""),"",AB40)</f>
        <v/>
      </c>
      <c r="AD40" s="34" t="str">
        <f>IF(OR(AD$14="",$E40=""),"",AC40)</f>
        <v/>
      </c>
    </row>
    <row r="41" spans="1:30" x14ac:dyDescent="0.2">
      <c r="A41"/>
      <c r="B41" s="2"/>
      <c r="C41"/>
      <c r="D41"/>
      <c r="E41" s="2"/>
      <c r="F41" s="2"/>
      <c r="G41" s="2"/>
      <c r="H41" s="2"/>
      <c r="I41" s="2"/>
    </row>
    <row r="42" spans="1:30" x14ac:dyDescent="0.2">
      <c r="A42"/>
      <c r="B42" s="2"/>
      <c r="C42"/>
      <c r="AC42" s="34" t="str">
        <f t="shared" ref="AC42:AD52" si="9">IF(OR(AC$14="",$E42=""),"",AB42)</f>
        <v/>
      </c>
      <c r="AD42" s="34" t="str">
        <f t="shared" si="9"/>
        <v/>
      </c>
    </row>
    <row r="43" spans="1:30" x14ac:dyDescent="0.2">
      <c r="C43"/>
      <c r="AC43" s="34" t="str">
        <f t="shared" si="9"/>
        <v/>
      </c>
      <c r="AD43" s="34" t="str">
        <f t="shared" si="9"/>
        <v/>
      </c>
    </row>
    <row r="44" spans="1:30" x14ac:dyDescent="0.2">
      <c r="C44"/>
      <c r="AC44" s="34" t="str">
        <f t="shared" si="9"/>
        <v/>
      </c>
      <c r="AD44" s="34" t="str">
        <f t="shared" si="9"/>
        <v/>
      </c>
    </row>
    <row r="45" spans="1:30" x14ac:dyDescent="0.2">
      <c r="C45"/>
      <c r="AC45" s="34" t="str">
        <f t="shared" si="9"/>
        <v/>
      </c>
      <c r="AD45" s="34" t="str">
        <f t="shared" si="9"/>
        <v/>
      </c>
    </row>
    <row r="46" spans="1:30" x14ac:dyDescent="0.2">
      <c r="C46"/>
      <c r="AC46" s="34" t="str">
        <f t="shared" si="9"/>
        <v/>
      </c>
      <c r="AD46" s="34" t="str">
        <f t="shared" si="9"/>
        <v/>
      </c>
    </row>
    <row r="47" spans="1:30" x14ac:dyDescent="0.2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">
      <c r="A50" s="32"/>
      <c r="C50"/>
      <c r="AC50" s="34" t="str">
        <f t="shared" si="9"/>
        <v/>
      </c>
      <c r="AD50" s="34" t="str">
        <f t="shared" si="9"/>
        <v/>
      </c>
    </row>
    <row r="51" spans="1:30" x14ac:dyDescent="0.2">
      <c r="A51" s="32"/>
      <c r="C51"/>
      <c r="AC51" s="34" t="str">
        <f t="shared" si="9"/>
        <v/>
      </c>
      <c r="AD51" s="34" t="str">
        <f t="shared" si="9"/>
        <v/>
      </c>
    </row>
    <row r="52" spans="1:30" x14ac:dyDescent="0.2">
      <c r="A52" s="32"/>
      <c r="C52"/>
      <c r="AC52" s="34" t="str">
        <f t="shared" si="9"/>
        <v/>
      </c>
      <c r="AD52" s="34" t="str">
        <f t="shared" si="9"/>
        <v/>
      </c>
    </row>
    <row r="53" spans="1:30" x14ac:dyDescent="0.2">
      <c r="A53" s="32"/>
      <c r="C53"/>
    </row>
    <row r="54" spans="1:30" x14ac:dyDescent="0.2">
      <c r="A54" s="32"/>
      <c r="C54"/>
      <c r="AC54" s="34" t="str">
        <f t="shared" ref="AC54:AD62" si="10">IF(OR(AC$14="",$E54=""),"",AB54)</f>
        <v/>
      </c>
      <c r="AD54" s="34" t="str">
        <f t="shared" si="10"/>
        <v/>
      </c>
    </row>
    <row r="55" spans="1:30" x14ac:dyDescent="0.2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">
      <c r="A60" s="32"/>
      <c r="C60"/>
      <c r="AC60" s="34" t="str">
        <f t="shared" si="10"/>
        <v/>
      </c>
      <c r="AD60" s="34" t="str">
        <f t="shared" si="10"/>
        <v/>
      </c>
    </row>
    <row r="61" spans="1:30" x14ac:dyDescent="0.2">
      <c r="A61" s="32"/>
      <c r="C61"/>
      <c r="AC61" s="34" t="str">
        <f t="shared" si="10"/>
        <v/>
      </c>
      <c r="AD61" s="34" t="str">
        <f t="shared" si="10"/>
        <v/>
      </c>
    </row>
    <row r="62" spans="1:30" x14ac:dyDescent="0.2">
      <c r="A62" s="32"/>
      <c r="C62"/>
      <c r="AC62" s="34" t="str">
        <f t="shared" si="10"/>
        <v/>
      </c>
      <c r="AD62" s="34" t="str">
        <f t="shared" si="10"/>
        <v/>
      </c>
    </row>
    <row r="63" spans="1:30" x14ac:dyDescent="0.2">
      <c r="A63" s="32"/>
      <c r="C63"/>
    </row>
    <row r="64" spans="1:30" x14ac:dyDescent="0.2">
      <c r="A64" s="32"/>
      <c r="C64"/>
      <c r="AC64" s="34" t="str">
        <f t="shared" ref="AC64:AD68" si="11">IF(OR(AC$14="",$E64=""),"",AB64)</f>
        <v/>
      </c>
      <c r="AD64" s="34" t="str">
        <f t="shared" si="11"/>
        <v/>
      </c>
    </row>
    <row r="65" spans="1:30" x14ac:dyDescent="0.2">
      <c r="A65" s="32"/>
      <c r="C65"/>
      <c r="AC65" s="34" t="str">
        <f t="shared" si="11"/>
        <v/>
      </c>
      <c r="AD65" s="34" t="str">
        <f t="shared" si="11"/>
        <v/>
      </c>
    </row>
    <row r="66" spans="1:30" x14ac:dyDescent="0.2">
      <c r="A66" s="32"/>
      <c r="C66"/>
      <c r="AC66" s="34" t="str">
        <f t="shared" si="11"/>
        <v/>
      </c>
      <c r="AD66" s="34" t="str">
        <f t="shared" si="11"/>
        <v/>
      </c>
    </row>
    <row r="67" spans="1:30" x14ac:dyDescent="0.2">
      <c r="A67" s="32"/>
      <c r="C67"/>
      <c r="AC67" s="34" t="str">
        <f t="shared" si="11"/>
        <v/>
      </c>
      <c r="AD67" s="34" t="str">
        <f t="shared" si="11"/>
        <v/>
      </c>
    </row>
    <row r="68" spans="1:30" x14ac:dyDescent="0.2">
      <c r="A68" s="32"/>
      <c r="C68"/>
      <c r="AC68" s="34" t="str">
        <f t="shared" si="11"/>
        <v/>
      </c>
      <c r="AD68" s="34" t="str">
        <f t="shared" si="11"/>
        <v/>
      </c>
    </row>
    <row r="69" spans="1:30" x14ac:dyDescent="0.2">
      <c r="C69"/>
      <c r="D69" s="35" t="str">
        <f>IF(A69&lt;&gt;"","Planned","")</f>
        <v/>
      </c>
    </row>
    <row r="70" spans="1:30" x14ac:dyDescent="0.2">
      <c r="C70"/>
    </row>
    <row r="71" spans="1:30" x14ac:dyDescent="0.2">
      <c r="C71"/>
    </row>
    <row r="72" spans="1:30" x14ac:dyDescent="0.2">
      <c r="C72"/>
    </row>
    <row r="73" spans="1:30" x14ac:dyDescent="0.2">
      <c r="C73"/>
    </row>
    <row r="74" spans="1:30" x14ac:dyDescent="0.2">
      <c r="C74"/>
    </row>
    <row r="75" spans="1:30" x14ac:dyDescent="0.2">
      <c r="C75"/>
    </row>
    <row r="76" spans="1:30" x14ac:dyDescent="0.2">
      <c r="C76"/>
    </row>
    <row r="77" spans="1:30" x14ac:dyDescent="0.2">
      <c r="C77"/>
    </row>
    <row r="78" spans="1:30" x14ac:dyDescent="0.2">
      <c r="C78"/>
    </row>
    <row r="79" spans="1:30" x14ac:dyDescent="0.2">
      <c r="C79"/>
    </row>
    <row r="80" spans="1:30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  <row r="90" spans="3:3" x14ac:dyDescent="0.2">
      <c r="C90"/>
    </row>
    <row r="91" spans="3:3" x14ac:dyDescent="0.2">
      <c r="C91"/>
    </row>
    <row r="92" spans="3:3" x14ac:dyDescent="0.2">
      <c r="C92"/>
    </row>
  </sheetData>
  <phoneticPr fontId="2" type="noConversion"/>
  <conditionalFormatting sqref="B15:AD16 A17:AD63">
    <cfRule type="expression" dxfId="21" priority="3" stopIfTrue="1">
      <formula>$D15="Done"</formula>
    </cfRule>
    <cfRule type="expression" dxfId="20" priority="4" stopIfTrue="1">
      <formula>$D15="Ongoing"</formula>
    </cfRule>
  </conditionalFormatting>
  <conditionalFormatting sqref="A15:A16">
    <cfRule type="expression" dxfId="19" priority="1" stopIfTrue="1">
      <formula>$D15="Done"</formula>
    </cfRule>
    <cfRule type="expression" dxfId="18" priority="2" stopIfTrue="1">
      <formula>$D15="Ongoing"</formula>
    </cfRule>
  </conditionalFormatting>
  <dataValidations count="1">
    <dataValidation type="list" allowBlank="1" showInputMessage="1" sqref="D3:D8 D15:D69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105"/>
  <sheetViews>
    <sheetView zoomScale="110" zoomScaleNormal="110" workbookViewId="0">
      <pane ySplit="14" topLeftCell="A15" activePane="bottomLeft" state="frozen"/>
      <selection pane="bottomLeft" activeCell="A24" sqref="A22:XFD24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10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86.5</v>
      </c>
      <c r="F10" s="17">
        <f ca="1">IF(AND(SUM(OFFSET(F14,1,0,TaskRows,1))=0),0,SUM(OFFSET(F14,1,0,TaskRows,1)))</f>
        <v>84.5</v>
      </c>
      <c r="G10" s="17">
        <f t="shared" ref="G10:AD10" ca="1" si="0">IF(AND(SUM(OFFSET(G14,1,0,TaskRows,1))=0),"",SUM(OFFSET(G14,1,0,TaskRows,1)))</f>
        <v>75.5</v>
      </c>
      <c r="H10" s="17">
        <f t="shared" ca="1" si="0"/>
        <v>70</v>
      </c>
      <c r="I10" s="17">
        <f t="shared" ca="1" si="0"/>
        <v>54.5</v>
      </c>
      <c r="J10" s="17">
        <f t="shared" ca="1" si="0"/>
        <v>47</v>
      </c>
      <c r="K10" s="17">
        <f t="shared" ca="1" si="0"/>
        <v>43.5</v>
      </c>
      <c r="L10" s="17">
        <f t="shared" ca="1" si="0"/>
        <v>29</v>
      </c>
      <c r="M10" s="17">
        <f t="shared" ca="1" si="0"/>
        <v>20</v>
      </c>
      <c r="N10" s="17">
        <f t="shared" ca="1" si="0"/>
        <v>13.5</v>
      </c>
      <c r="O10" s="17">
        <f t="shared" ca="1" si="0"/>
        <v>8</v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IF(COUNTA(A15:A283)=0,1,COUNTA(A15:A283))</f>
        <v>55</v>
      </c>
      <c r="C11" t="s">
        <v>104</v>
      </c>
      <c r="D11" s="2">
        <f ca="1">IF(COUNTIF(F10:AD10,"&gt;0")=0,1,COUNTIF(F10:AD10,"&gt;0"))</f>
        <v>10</v>
      </c>
      <c r="F11" s="2">
        <f ca="1">IF(F14="","",$E10-$E10/($B9-1)*(F14-1))</f>
        <v>86.5</v>
      </c>
      <c r="G11" s="2">
        <f t="shared" ref="G11:AD11" ca="1" si="1">IF(G14="","",TotalEffort-TotalEffort/(ImplementationDays)*(G14-1))</f>
        <v>77.849999999999994</v>
      </c>
      <c r="H11" s="2">
        <f t="shared" ca="1" si="1"/>
        <v>69.2</v>
      </c>
      <c r="I11" s="2">
        <f t="shared" ca="1" si="1"/>
        <v>60.55</v>
      </c>
      <c r="J11" s="2">
        <f t="shared" ca="1" si="1"/>
        <v>51.9</v>
      </c>
      <c r="K11" s="2">
        <f t="shared" ca="1" si="1"/>
        <v>43.25</v>
      </c>
      <c r="L11" s="2">
        <f t="shared" ca="1" si="1"/>
        <v>34.599999999999994</v>
      </c>
      <c r="M11" s="2">
        <f t="shared" ca="1" si="1"/>
        <v>25.949999999999996</v>
      </c>
      <c r="N11" s="2">
        <f t="shared" ca="1" si="1"/>
        <v>17.299999999999997</v>
      </c>
      <c r="O11" s="2">
        <f t="shared" ca="1" si="1"/>
        <v>8.6499999999999915</v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83.35</v>
      </c>
      <c r="G12" s="2">
        <f t="shared" ca="1" si="2"/>
        <v>74.7</v>
      </c>
      <c r="H12" s="2">
        <f t="shared" ca="1" si="2"/>
        <v>66.05</v>
      </c>
      <c r="I12" s="2">
        <f t="shared" ca="1" si="2"/>
        <v>57.4</v>
      </c>
      <c r="J12" s="2">
        <f t="shared" ca="1" si="2"/>
        <v>48.75</v>
      </c>
      <c r="K12" s="2">
        <f t="shared" ca="1" si="2"/>
        <v>40.099999999999994</v>
      </c>
      <c r="L12" s="2">
        <f t="shared" ca="1" si="2"/>
        <v>31.449999999999996</v>
      </c>
      <c r="M12" s="2">
        <f t="shared" ca="1" si="2"/>
        <v>22.799999999999997</v>
      </c>
      <c r="N12" s="2">
        <f t="shared" ca="1" si="2"/>
        <v>14.149999999999991</v>
      </c>
      <c r="O12" s="2">
        <f t="shared" ca="1" si="2"/>
        <v>5.5</v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129</v>
      </c>
      <c r="B15" s="34">
        <v>5</v>
      </c>
      <c r="C15" t="s">
        <v>130</v>
      </c>
      <c r="D15" s="35" t="s">
        <v>24</v>
      </c>
      <c r="E15" s="34">
        <v>1</v>
      </c>
      <c r="F15" s="34">
        <v>1</v>
      </c>
      <c r="G15" s="34">
        <v>1</v>
      </c>
      <c r="H15" s="34">
        <v>0.5</v>
      </c>
      <c r="I15" s="34">
        <v>0.5</v>
      </c>
      <c r="J15" s="34">
        <v>0.5</v>
      </c>
      <c r="K15" s="2">
        <v>0.5</v>
      </c>
      <c r="L15" s="2">
        <v>0</v>
      </c>
      <c r="M15" s="2">
        <v>0</v>
      </c>
      <c r="N15" s="2">
        <v>0</v>
      </c>
      <c r="O15" s="2">
        <v>0</v>
      </c>
      <c r="AC15" s="2" t="str">
        <f t="shared" ref="AC15:AD21" si="4">IF(OR(AC$14="",$E15=""),"",AB15)</f>
        <v/>
      </c>
      <c r="AD15" s="2" t="str">
        <f t="shared" si="4"/>
        <v/>
      </c>
    </row>
    <row r="16" spans="1:30" x14ac:dyDescent="0.2">
      <c r="A16" s="35" t="s">
        <v>131</v>
      </c>
      <c r="B16" s="34">
        <v>5</v>
      </c>
      <c r="C16" t="s">
        <v>123</v>
      </c>
      <c r="D16" s="35" t="s">
        <v>31</v>
      </c>
      <c r="E16" s="34">
        <v>3</v>
      </c>
      <c r="F16" s="34">
        <v>3</v>
      </c>
      <c r="G16" s="34">
        <v>3</v>
      </c>
      <c r="H16" s="34">
        <v>3</v>
      </c>
      <c r="I16" s="34">
        <v>3</v>
      </c>
      <c r="J16" s="34">
        <v>3</v>
      </c>
      <c r="K16" s="2">
        <v>3</v>
      </c>
      <c r="L16" s="2">
        <v>2</v>
      </c>
      <c r="M16" s="2">
        <v>1</v>
      </c>
      <c r="N16" s="2">
        <v>0.5</v>
      </c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134</v>
      </c>
      <c r="B17" s="34">
        <v>3</v>
      </c>
      <c r="C17" t="s">
        <v>121</v>
      </c>
      <c r="D17" s="35" t="s">
        <v>24</v>
      </c>
      <c r="E17" s="34">
        <v>1</v>
      </c>
      <c r="F17" s="34">
        <v>1</v>
      </c>
      <c r="G17" s="34">
        <v>1</v>
      </c>
      <c r="H17" s="34">
        <v>1</v>
      </c>
      <c r="I17" s="34">
        <v>1</v>
      </c>
      <c r="J17" s="34">
        <v>1</v>
      </c>
      <c r="K17" s="2">
        <v>1</v>
      </c>
      <c r="L17" s="2">
        <v>0</v>
      </c>
      <c r="M17" s="2">
        <v>0</v>
      </c>
      <c r="N17" s="2">
        <v>0</v>
      </c>
      <c r="O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s="35" t="s">
        <v>135</v>
      </c>
      <c r="B18" s="34">
        <v>3</v>
      </c>
      <c r="C18" t="s">
        <v>123</v>
      </c>
      <c r="D18" s="35" t="s">
        <v>24</v>
      </c>
      <c r="E18" s="34">
        <v>5</v>
      </c>
      <c r="F18" s="34">
        <v>4</v>
      </c>
      <c r="G18" s="34">
        <v>3</v>
      </c>
      <c r="H18" s="34">
        <v>2</v>
      </c>
      <c r="I18" s="34">
        <v>0</v>
      </c>
      <c r="J18" s="34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A19" s="35" t="s">
        <v>146</v>
      </c>
      <c r="B19" s="34">
        <v>3</v>
      </c>
      <c r="C19" t="s">
        <v>132</v>
      </c>
      <c r="D19" s="35" t="s">
        <v>147</v>
      </c>
      <c r="E19" s="34">
        <v>2</v>
      </c>
      <c r="F19" s="34">
        <v>2</v>
      </c>
      <c r="G19" s="34">
        <v>2</v>
      </c>
      <c r="H19" s="34">
        <v>2</v>
      </c>
      <c r="I19" s="34">
        <v>0</v>
      </c>
      <c r="J19" s="34">
        <v>0</v>
      </c>
      <c r="K19" s="34">
        <v>0</v>
      </c>
      <c r="L19" s="34">
        <v>0</v>
      </c>
      <c r="M19" s="34">
        <v>0</v>
      </c>
      <c r="N19" s="34">
        <v>0</v>
      </c>
      <c r="O19" s="34">
        <v>0</v>
      </c>
      <c r="AC19" s="2" t="str">
        <f t="shared" si="4"/>
        <v/>
      </c>
      <c r="AD19" s="2" t="str">
        <f t="shared" si="4"/>
        <v/>
      </c>
    </row>
    <row r="20" spans="1:30" x14ac:dyDescent="0.2">
      <c r="A20" s="35" t="s">
        <v>148</v>
      </c>
      <c r="B20" s="34"/>
      <c r="C20" t="s">
        <v>137</v>
      </c>
      <c r="D20" s="35" t="s">
        <v>147</v>
      </c>
      <c r="E20" s="34">
        <v>1</v>
      </c>
      <c r="F20" s="34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34">
        <v>0</v>
      </c>
      <c r="M20" s="34">
        <v>0</v>
      </c>
      <c r="N20" s="34">
        <v>0</v>
      </c>
      <c r="O20" s="34">
        <v>0</v>
      </c>
      <c r="AC20" s="2" t="str">
        <f t="shared" si="4"/>
        <v/>
      </c>
      <c r="AD20" s="2" t="str">
        <f t="shared" si="4"/>
        <v/>
      </c>
    </row>
    <row r="21" spans="1:30" x14ac:dyDescent="0.2">
      <c r="A21" s="35" t="s">
        <v>149</v>
      </c>
      <c r="B21" s="34"/>
      <c r="C21" t="s">
        <v>132</v>
      </c>
      <c r="D21" s="35" t="s">
        <v>24</v>
      </c>
      <c r="E21" s="34">
        <v>2</v>
      </c>
      <c r="F21" s="34">
        <v>2</v>
      </c>
      <c r="G21" s="34">
        <v>2</v>
      </c>
      <c r="H21" s="34">
        <v>2</v>
      </c>
      <c r="I21" s="34">
        <v>0.5</v>
      </c>
      <c r="J21" s="34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AC21" s="2" t="str">
        <f t="shared" si="4"/>
        <v/>
      </c>
      <c r="AD21" s="2" t="str">
        <f t="shared" si="4"/>
        <v/>
      </c>
    </row>
    <row r="25" spans="1:30" x14ac:dyDescent="0.2">
      <c r="A25" s="35" t="s">
        <v>151</v>
      </c>
      <c r="B25" s="34"/>
      <c r="C25" t="s">
        <v>132</v>
      </c>
      <c r="D25" s="35" t="s">
        <v>24</v>
      </c>
      <c r="E25" s="34">
        <v>3</v>
      </c>
      <c r="F25" s="34">
        <v>3</v>
      </c>
      <c r="G25" s="34">
        <v>3</v>
      </c>
      <c r="H25" s="34">
        <v>3</v>
      </c>
      <c r="I25" s="34">
        <v>0</v>
      </c>
      <c r="J25" s="34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AC25" s="2" t="str">
        <f>IF(OR(AC$14="",$E25=""),"",AB25)</f>
        <v/>
      </c>
      <c r="AD25" s="2" t="str">
        <f>IF(OR(AD$14="",$E25=""),"",AC25)</f>
        <v/>
      </c>
    </row>
    <row r="26" spans="1:30" x14ac:dyDescent="0.2">
      <c r="A26" s="35"/>
      <c r="B26" s="34"/>
      <c r="D26" s="35"/>
      <c r="E26" s="34"/>
      <c r="F26" s="34"/>
      <c r="G26" s="34"/>
      <c r="H26" s="34"/>
      <c r="I26" s="34"/>
      <c r="J26" s="34"/>
    </row>
    <row r="27" spans="1:30" x14ac:dyDescent="0.2">
      <c r="A27" s="35" t="s">
        <v>142</v>
      </c>
      <c r="B27" s="34">
        <v>5</v>
      </c>
      <c r="D27" s="35"/>
      <c r="E27" s="34"/>
      <c r="F27" s="34"/>
      <c r="G27" s="34"/>
      <c r="H27" s="34"/>
      <c r="I27" s="34"/>
      <c r="J27" s="34"/>
      <c r="AC27" s="2" t="str">
        <f>IF(OR(AC$14="",$E27=""),"",AB27)</f>
        <v/>
      </c>
      <c r="AD27" s="2" t="str">
        <f>IF(OR(AD$14="",$E27=""),"",AC27)</f>
        <v/>
      </c>
    </row>
    <row r="28" spans="1:30" x14ac:dyDescent="0.2">
      <c r="A28" s="35" t="s">
        <v>152</v>
      </c>
      <c r="B28" s="34">
        <v>5</v>
      </c>
      <c r="C28" t="s">
        <v>153</v>
      </c>
      <c r="D28" s="35" t="s">
        <v>24</v>
      </c>
      <c r="E28" s="34">
        <v>5</v>
      </c>
      <c r="F28" s="34">
        <v>5</v>
      </c>
      <c r="G28" s="34">
        <v>3</v>
      </c>
      <c r="H28" s="34">
        <v>3</v>
      </c>
      <c r="I28" s="34">
        <v>2</v>
      </c>
      <c r="J28" s="34">
        <v>1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</row>
    <row r="29" spans="1:30" x14ac:dyDescent="0.2">
      <c r="A29" s="35" t="s">
        <v>154</v>
      </c>
      <c r="B29" s="34">
        <v>5</v>
      </c>
      <c r="C29" t="s">
        <v>132</v>
      </c>
      <c r="D29" s="35" t="s">
        <v>24</v>
      </c>
      <c r="E29" s="34">
        <v>5</v>
      </c>
      <c r="F29" s="34">
        <v>5</v>
      </c>
      <c r="G29" s="34">
        <v>5</v>
      </c>
      <c r="H29" s="34">
        <v>5</v>
      </c>
      <c r="I29" s="34">
        <v>5</v>
      </c>
      <c r="J29" s="34">
        <v>4</v>
      </c>
      <c r="K29" s="2">
        <v>3</v>
      </c>
      <c r="L29" s="2">
        <v>2</v>
      </c>
      <c r="M29" s="2">
        <v>0</v>
      </c>
      <c r="N29" s="2">
        <v>0</v>
      </c>
      <c r="O29" s="2">
        <v>0</v>
      </c>
    </row>
    <row r="30" spans="1:30" x14ac:dyDescent="0.2">
      <c r="A30" s="35" t="s">
        <v>179</v>
      </c>
      <c r="B30" s="34">
        <v>5</v>
      </c>
      <c r="C30" t="s">
        <v>125</v>
      </c>
      <c r="D30" s="35" t="s">
        <v>24</v>
      </c>
      <c r="E30" s="34">
        <v>3</v>
      </c>
      <c r="F30" s="34">
        <v>3</v>
      </c>
      <c r="G30" s="34">
        <v>1</v>
      </c>
      <c r="H30" s="34">
        <v>1</v>
      </c>
      <c r="I30" s="34">
        <v>1</v>
      </c>
      <c r="J30" s="34">
        <v>1</v>
      </c>
      <c r="K30" s="2">
        <v>1</v>
      </c>
      <c r="L30" s="2">
        <v>0</v>
      </c>
      <c r="M30" s="2">
        <v>0</v>
      </c>
      <c r="N30" s="2">
        <v>0</v>
      </c>
      <c r="O30" s="2">
        <v>0</v>
      </c>
    </row>
    <row r="31" spans="1:30" x14ac:dyDescent="0.2">
      <c r="A31" s="35" t="s">
        <v>155</v>
      </c>
      <c r="B31" s="34">
        <v>5</v>
      </c>
      <c r="C31" t="s">
        <v>125</v>
      </c>
      <c r="D31" s="35" t="s">
        <v>24</v>
      </c>
      <c r="E31" s="34">
        <v>1</v>
      </c>
      <c r="F31" s="34">
        <v>1</v>
      </c>
      <c r="G31" s="34">
        <v>0</v>
      </c>
      <c r="H31" s="34">
        <v>0</v>
      </c>
      <c r="I31" s="34">
        <v>0</v>
      </c>
      <c r="J31" s="34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30" x14ac:dyDescent="0.2">
      <c r="A32" s="35" t="s">
        <v>156</v>
      </c>
      <c r="B32" s="34">
        <v>6</v>
      </c>
      <c r="C32" t="s">
        <v>125</v>
      </c>
      <c r="D32" s="35" t="s">
        <v>31</v>
      </c>
      <c r="E32" s="34">
        <v>2</v>
      </c>
      <c r="F32" s="34">
        <v>2</v>
      </c>
      <c r="G32" s="34">
        <v>1</v>
      </c>
      <c r="H32" s="34">
        <v>1</v>
      </c>
      <c r="I32" s="34">
        <v>1</v>
      </c>
      <c r="J32" s="34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</row>
    <row r="33" spans="1:30" x14ac:dyDescent="0.2">
      <c r="A33" s="35" t="s">
        <v>187</v>
      </c>
      <c r="B33" s="34">
        <v>5</v>
      </c>
      <c r="D33" s="35" t="s">
        <v>24</v>
      </c>
      <c r="E33" s="34">
        <v>4</v>
      </c>
      <c r="F33" s="34">
        <v>4</v>
      </c>
      <c r="G33" s="34">
        <v>4</v>
      </c>
      <c r="H33" s="34">
        <v>4</v>
      </c>
      <c r="I33" s="34">
        <v>4</v>
      </c>
      <c r="J33" s="34">
        <v>4</v>
      </c>
      <c r="K33" s="34">
        <v>4</v>
      </c>
      <c r="L33" s="34">
        <v>4</v>
      </c>
      <c r="M33" s="34">
        <v>3</v>
      </c>
      <c r="N33" s="2">
        <v>0</v>
      </c>
      <c r="O33" s="2">
        <v>0</v>
      </c>
    </row>
    <row r="34" spans="1:30" x14ac:dyDescent="0.2">
      <c r="A34" s="35"/>
      <c r="B34" s="34"/>
      <c r="D34" s="35"/>
      <c r="E34" s="34"/>
      <c r="F34" s="34"/>
      <c r="G34" s="34"/>
      <c r="H34" s="34"/>
      <c r="I34" s="34"/>
      <c r="J34" s="34"/>
    </row>
    <row r="35" spans="1:30" x14ac:dyDescent="0.2">
      <c r="A35" s="35" t="s">
        <v>157</v>
      </c>
      <c r="B35" s="34">
        <v>6</v>
      </c>
      <c r="D35" s="35"/>
      <c r="E35" s="34"/>
      <c r="F35" s="34"/>
      <c r="G35" s="34"/>
      <c r="H35" s="34"/>
      <c r="I35" s="34"/>
      <c r="J35" s="34"/>
    </row>
    <row r="36" spans="1:30" x14ac:dyDescent="0.2">
      <c r="A36" s="35" t="s">
        <v>158</v>
      </c>
      <c r="B36" s="34">
        <v>6</v>
      </c>
      <c r="C36" t="s">
        <v>153</v>
      </c>
      <c r="D36" s="35" t="s">
        <v>31</v>
      </c>
      <c r="E36" s="34">
        <v>5</v>
      </c>
      <c r="F36" s="34">
        <v>5</v>
      </c>
      <c r="G36" s="34">
        <v>5</v>
      </c>
      <c r="H36" s="34">
        <v>5</v>
      </c>
      <c r="I36" s="34">
        <v>5</v>
      </c>
      <c r="J36" s="34">
        <v>5</v>
      </c>
      <c r="K36" s="2">
        <v>10</v>
      </c>
      <c r="L36" s="2">
        <v>6</v>
      </c>
      <c r="M36" s="2">
        <v>3</v>
      </c>
      <c r="N36" s="2">
        <v>3</v>
      </c>
      <c r="O36" s="2">
        <v>3</v>
      </c>
    </row>
    <row r="37" spans="1:30" x14ac:dyDescent="0.2">
      <c r="A37" s="35" t="s">
        <v>159</v>
      </c>
      <c r="B37" s="34">
        <v>6</v>
      </c>
      <c r="C37" t="s">
        <v>153</v>
      </c>
      <c r="D37" s="35" t="s">
        <v>31</v>
      </c>
      <c r="E37" s="34">
        <v>2</v>
      </c>
      <c r="F37" s="34">
        <v>2</v>
      </c>
      <c r="G37" s="34">
        <v>2</v>
      </c>
      <c r="H37" s="34">
        <v>2</v>
      </c>
      <c r="I37" s="34">
        <v>2</v>
      </c>
      <c r="J37" s="34">
        <v>2</v>
      </c>
      <c r="K37" s="2">
        <v>2</v>
      </c>
      <c r="L37" s="2">
        <v>2</v>
      </c>
      <c r="M37" s="2">
        <v>2</v>
      </c>
      <c r="N37" s="2">
        <v>2</v>
      </c>
      <c r="O37" s="2">
        <v>2</v>
      </c>
    </row>
    <row r="38" spans="1:30" x14ac:dyDescent="0.2">
      <c r="A38" s="35"/>
      <c r="B38" s="34"/>
      <c r="D38" s="35"/>
      <c r="E38" s="34"/>
      <c r="F38" s="34"/>
      <c r="G38" s="34"/>
      <c r="H38" s="34"/>
      <c r="I38" s="34"/>
      <c r="J38" s="34"/>
    </row>
    <row r="39" spans="1:30" x14ac:dyDescent="0.2">
      <c r="A39" s="35" t="s">
        <v>160</v>
      </c>
      <c r="B39" s="34">
        <v>5</v>
      </c>
      <c r="C39" t="s">
        <v>137</v>
      </c>
      <c r="D39" s="35" t="s">
        <v>24</v>
      </c>
      <c r="E39" s="34">
        <v>2</v>
      </c>
      <c r="F39" s="34">
        <v>2</v>
      </c>
      <c r="G39" s="34">
        <v>1</v>
      </c>
      <c r="H39" s="34">
        <v>0</v>
      </c>
      <c r="I39" s="34">
        <v>0</v>
      </c>
      <c r="J39" s="34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</row>
    <row r="40" spans="1:30" x14ac:dyDescent="0.2">
      <c r="A40" s="35" t="s">
        <v>161</v>
      </c>
      <c r="B40" s="34">
        <v>5</v>
      </c>
      <c r="C40" t="s">
        <v>137</v>
      </c>
      <c r="D40" s="35" t="s">
        <v>147</v>
      </c>
      <c r="E40" s="34">
        <v>1</v>
      </c>
      <c r="F40" s="34">
        <v>1</v>
      </c>
      <c r="G40" s="34">
        <v>1</v>
      </c>
      <c r="H40" s="34">
        <v>0</v>
      </c>
      <c r="I40" s="34">
        <v>0</v>
      </c>
      <c r="J40" s="34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</row>
    <row r="41" spans="1:30" x14ac:dyDescent="0.2">
      <c r="A41" s="35" t="s">
        <v>162</v>
      </c>
      <c r="B41" s="34">
        <v>5</v>
      </c>
      <c r="C41" t="s">
        <v>137</v>
      </c>
      <c r="D41" s="35" t="s">
        <v>24</v>
      </c>
      <c r="E41" s="34">
        <v>1</v>
      </c>
      <c r="F41" s="34">
        <v>1</v>
      </c>
      <c r="G41" s="34">
        <v>0</v>
      </c>
      <c r="H41" s="34">
        <v>0</v>
      </c>
      <c r="I41" s="34">
        <v>0</v>
      </c>
      <c r="J41" s="34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</row>
    <row r="42" spans="1:30" x14ac:dyDescent="0.2">
      <c r="A42" s="35" t="s">
        <v>143</v>
      </c>
      <c r="B42" s="34">
        <v>5</v>
      </c>
      <c r="C42" t="s">
        <v>137</v>
      </c>
      <c r="D42" s="35" t="s">
        <v>24</v>
      </c>
      <c r="E42" s="34">
        <v>3</v>
      </c>
      <c r="F42" s="34">
        <v>3</v>
      </c>
      <c r="G42" s="34">
        <v>3</v>
      </c>
      <c r="H42" s="34">
        <v>2</v>
      </c>
      <c r="I42" s="34">
        <v>1</v>
      </c>
      <c r="J42" s="34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AC42" s="2" t="str">
        <f t="shared" ref="AC42:AD45" si="5">IF(OR(AC$14="",$E42=""),"",AB42)</f>
        <v/>
      </c>
      <c r="AD42" s="2" t="str">
        <f t="shared" si="5"/>
        <v/>
      </c>
    </row>
    <row r="43" spans="1:30" x14ac:dyDescent="0.2">
      <c r="A43" s="35" t="s">
        <v>144</v>
      </c>
      <c r="B43" s="34">
        <v>7</v>
      </c>
      <c r="C43" t="s">
        <v>125</v>
      </c>
      <c r="D43" s="35" t="s">
        <v>24</v>
      </c>
      <c r="E43" s="34">
        <v>1</v>
      </c>
      <c r="F43" s="34">
        <v>1</v>
      </c>
      <c r="G43" s="34">
        <v>1</v>
      </c>
      <c r="H43" s="34">
        <v>1</v>
      </c>
      <c r="I43" s="34">
        <v>0</v>
      </c>
      <c r="J43" s="34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AC43" s="2" t="str">
        <f t="shared" si="5"/>
        <v/>
      </c>
      <c r="AD43" s="2" t="str">
        <f t="shared" si="5"/>
        <v/>
      </c>
    </row>
    <row r="44" spans="1:30" x14ac:dyDescent="0.2">
      <c r="A44" s="35" t="s">
        <v>163</v>
      </c>
      <c r="B44" s="2">
        <v>7</v>
      </c>
      <c r="C44" t="s">
        <v>137</v>
      </c>
      <c r="D44" s="35" t="s">
        <v>24</v>
      </c>
      <c r="E44" s="2">
        <v>3</v>
      </c>
      <c r="F44" s="2">
        <v>3</v>
      </c>
      <c r="G44" s="2">
        <v>3</v>
      </c>
      <c r="H44" s="2">
        <v>2</v>
      </c>
      <c r="I44" s="2">
        <v>1</v>
      </c>
      <c r="J44" s="34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AC44" s="2" t="str">
        <f t="shared" si="5"/>
        <v/>
      </c>
      <c r="AD44" s="2" t="str">
        <f t="shared" si="5"/>
        <v/>
      </c>
    </row>
    <row r="45" spans="1:30" x14ac:dyDescent="0.2">
      <c r="A45" s="35" t="s">
        <v>164</v>
      </c>
      <c r="C45" t="s">
        <v>137</v>
      </c>
      <c r="D45" t="s">
        <v>31</v>
      </c>
      <c r="E45" s="2">
        <v>1</v>
      </c>
      <c r="F45" s="2">
        <f>IF(OR(F$14="",$E45=""),"",E45)</f>
        <v>1</v>
      </c>
      <c r="G45" s="2">
        <v>1</v>
      </c>
      <c r="H45" s="2">
        <v>1</v>
      </c>
      <c r="I45" s="2">
        <v>1</v>
      </c>
      <c r="J45" s="2">
        <v>1</v>
      </c>
      <c r="K45" s="2">
        <v>1</v>
      </c>
      <c r="L45" s="2">
        <v>1</v>
      </c>
      <c r="M45" s="2">
        <v>1</v>
      </c>
      <c r="N45" s="2">
        <v>1</v>
      </c>
      <c r="O45" s="2">
        <v>1</v>
      </c>
      <c r="AC45" s="2" t="str">
        <f t="shared" si="5"/>
        <v/>
      </c>
      <c r="AD45" s="2" t="str">
        <f t="shared" si="5"/>
        <v/>
      </c>
    </row>
    <row r="46" spans="1:30" x14ac:dyDescent="0.2">
      <c r="A46" s="35"/>
    </row>
    <row r="47" spans="1:30" x14ac:dyDescent="0.2">
      <c r="A47" s="35" t="s">
        <v>165</v>
      </c>
      <c r="B47" s="2">
        <v>8</v>
      </c>
    </row>
    <row r="48" spans="1:30" x14ac:dyDescent="0.2">
      <c r="A48" s="35" t="s">
        <v>166</v>
      </c>
      <c r="B48" s="2">
        <v>8</v>
      </c>
      <c r="C48" t="s">
        <v>137</v>
      </c>
      <c r="D48" t="s">
        <v>24</v>
      </c>
      <c r="E48" s="2">
        <v>0.5</v>
      </c>
      <c r="F48" s="2">
        <v>0.5</v>
      </c>
      <c r="G48" s="2">
        <v>0.5</v>
      </c>
      <c r="H48" s="2">
        <v>0.5</v>
      </c>
      <c r="I48" s="2">
        <v>0.5</v>
      </c>
      <c r="J48" s="2">
        <v>0.5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</row>
    <row r="49" spans="1:30" x14ac:dyDescent="0.2">
      <c r="A49" s="35" t="s">
        <v>167</v>
      </c>
      <c r="B49" s="2">
        <v>8</v>
      </c>
      <c r="C49" t="s">
        <v>137</v>
      </c>
      <c r="D49" t="s">
        <v>24</v>
      </c>
      <c r="E49" s="2">
        <v>1</v>
      </c>
      <c r="F49" s="2">
        <v>1</v>
      </c>
      <c r="G49" s="2">
        <v>1</v>
      </c>
      <c r="H49" s="2">
        <v>1</v>
      </c>
      <c r="I49" s="2">
        <v>1</v>
      </c>
      <c r="J49" s="2">
        <v>1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</row>
    <row r="50" spans="1:30" x14ac:dyDescent="0.2">
      <c r="A50" s="35" t="s">
        <v>168</v>
      </c>
      <c r="B50" s="2">
        <v>8</v>
      </c>
      <c r="C50" t="s">
        <v>137</v>
      </c>
      <c r="D50" t="s">
        <v>24</v>
      </c>
      <c r="E50" s="2">
        <v>2</v>
      </c>
      <c r="F50" s="2">
        <v>2</v>
      </c>
      <c r="G50" s="2">
        <v>2</v>
      </c>
      <c r="H50" s="2">
        <v>2</v>
      </c>
      <c r="I50" s="2">
        <v>2</v>
      </c>
      <c r="J50" s="2">
        <v>2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</row>
    <row r="51" spans="1:30" x14ac:dyDescent="0.2">
      <c r="A51" s="35"/>
    </row>
    <row r="52" spans="1:30" x14ac:dyDescent="0.2">
      <c r="A52" s="35" t="s">
        <v>169</v>
      </c>
      <c r="B52" s="85">
        <v>8</v>
      </c>
      <c r="C52" t="s">
        <v>137</v>
      </c>
      <c r="D52" t="s">
        <v>24</v>
      </c>
      <c r="E52" s="2">
        <v>4</v>
      </c>
      <c r="F52" s="2">
        <v>4</v>
      </c>
      <c r="G52" s="2">
        <v>4</v>
      </c>
      <c r="H52" s="2">
        <v>4</v>
      </c>
      <c r="I52" s="2">
        <v>3</v>
      </c>
      <c r="J52" s="2">
        <v>1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</row>
    <row r="53" spans="1:30" x14ac:dyDescent="0.2">
      <c r="A53" s="35" t="s">
        <v>170</v>
      </c>
      <c r="B53" s="2">
        <v>8</v>
      </c>
      <c r="C53" t="s">
        <v>137</v>
      </c>
      <c r="D53" t="s">
        <v>24</v>
      </c>
      <c r="E53" s="2">
        <v>2</v>
      </c>
      <c r="F53" s="2">
        <v>2</v>
      </c>
      <c r="G53" s="2">
        <v>2</v>
      </c>
      <c r="H53" s="2">
        <v>2</v>
      </c>
      <c r="I53" s="2">
        <v>1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</row>
    <row r="54" spans="1:30" x14ac:dyDescent="0.2">
      <c r="A54" s="35" t="s">
        <v>171</v>
      </c>
      <c r="B54" s="2">
        <v>8</v>
      </c>
      <c r="C54" t="s">
        <v>137</v>
      </c>
      <c r="D54" t="s">
        <v>24</v>
      </c>
      <c r="E54" s="2">
        <v>1</v>
      </c>
      <c r="F54" s="2">
        <v>1</v>
      </c>
      <c r="G54" s="2">
        <v>1</v>
      </c>
      <c r="H54" s="2">
        <v>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</row>
    <row r="55" spans="1:30" x14ac:dyDescent="0.2">
      <c r="A55" s="35" t="s">
        <v>180</v>
      </c>
      <c r="B55" s="2">
        <v>8</v>
      </c>
      <c r="C55" t="s">
        <v>132</v>
      </c>
      <c r="D55" t="s">
        <v>24</v>
      </c>
      <c r="E55" s="2">
        <v>2</v>
      </c>
      <c r="F55" s="2">
        <v>2</v>
      </c>
      <c r="G55" s="2">
        <v>2</v>
      </c>
      <c r="H55" s="2">
        <v>2</v>
      </c>
      <c r="I55" s="2">
        <v>2</v>
      </c>
      <c r="J55" s="2">
        <v>2</v>
      </c>
      <c r="K55" s="2">
        <v>1</v>
      </c>
      <c r="L55" s="2">
        <v>1</v>
      </c>
      <c r="M55" s="2">
        <v>1</v>
      </c>
      <c r="N55" s="2">
        <v>2</v>
      </c>
      <c r="O55" s="2">
        <v>0</v>
      </c>
    </row>
    <row r="56" spans="1:30" x14ac:dyDescent="0.2">
      <c r="D56" t="str">
        <f t="shared" ref="D56" si="6">IF(A56&lt;&gt;"","Planned","")</f>
        <v/>
      </c>
      <c r="F56" s="2" t="str">
        <f>IF(OR(F$14="",$E56=""),"",E56)</f>
        <v/>
      </c>
      <c r="AC56" s="2" t="str">
        <f t="shared" ref="AC56:AD59" si="7">IF(OR(AC$14="",$E56=""),"",AB56)</f>
        <v/>
      </c>
      <c r="AD56" s="2" t="str">
        <f t="shared" si="7"/>
        <v/>
      </c>
    </row>
    <row r="57" spans="1:30" x14ac:dyDescent="0.2">
      <c r="A57" t="s">
        <v>172</v>
      </c>
      <c r="F57" s="2" t="str">
        <f>IF(OR(F$14="",$E57=""),"",E57)</f>
        <v/>
      </c>
      <c r="AC57" s="2" t="str">
        <f t="shared" si="7"/>
        <v/>
      </c>
      <c r="AD57" s="2" t="str">
        <f t="shared" si="7"/>
        <v/>
      </c>
    </row>
    <row r="58" spans="1:30" x14ac:dyDescent="0.2">
      <c r="A58" t="s">
        <v>173</v>
      </c>
      <c r="C58" t="s">
        <v>137</v>
      </c>
      <c r="D58" t="s">
        <v>24</v>
      </c>
      <c r="E58" s="2">
        <v>1</v>
      </c>
      <c r="F58" s="2">
        <f>IF(OR(F$14="",$E58=""),"",E58)</f>
        <v>1</v>
      </c>
      <c r="G58" s="2">
        <v>1</v>
      </c>
      <c r="H58" s="2">
        <v>1</v>
      </c>
      <c r="I58" s="2">
        <v>1</v>
      </c>
      <c r="J58" s="2">
        <v>1</v>
      </c>
      <c r="K58" s="2">
        <v>1</v>
      </c>
      <c r="L58" s="2">
        <v>0</v>
      </c>
      <c r="M58" s="2">
        <v>0</v>
      </c>
      <c r="N58" s="2">
        <v>0</v>
      </c>
      <c r="O58" s="2">
        <v>0</v>
      </c>
      <c r="AC58" s="2" t="str">
        <f t="shared" si="7"/>
        <v/>
      </c>
      <c r="AD58" s="2" t="str">
        <f t="shared" si="7"/>
        <v/>
      </c>
    </row>
    <row r="59" spans="1:30" x14ac:dyDescent="0.2">
      <c r="A59" t="s">
        <v>174</v>
      </c>
      <c r="C59" t="s">
        <v>137</v>
      </c>
      <c r="D59" t="s">
        <v>24</v>
      </c>
      <c r="E59" s="2">
        <v>1</v>
      </c>
      <c r="F59" s="2">
        <f>IF(OR(F$14="",$E59=""),"",E59)</f>
        <v>1</v>
      </c>
      <c r="G59" s="2">
        <f>IF(OR(G$14="",$E59=""),"",F59)</f>
        <v>1</v>
      </c>
      <c r="H59" s="2">
        <f>IF(OR(H$14="",$E59=""),"",G59)</f>
        <v>1</v>
      </c>
      <c r="I59" s="2">
        <f>IF(OR(I$14="",$E59=""),"",H59)</f>
        <v>1</v>
      </c>
      <c r="J59" s="2">
        <f>IF(OR(J$14="",$E59=""),"",I59)</f>
        <v>1</v>
      </c>
      <c r="K59" s="2">
        <f>IF(OR(K$14="",$E59=""),"",J59)</f>
        <v>1</v>
      </c>
      <c r="L59" s="2">
        <v>0</v>
      </c>
      <c r="M59" s="2">
        <f t="shared" ref="M59:AB59" si="8">IF(OR(M$14="",$E59=""),"",L59)</f>
        <v>0</v>
      </c>
      <c r="N59" s="2">
        <f t="shared" si="8"/>
        <v>0</v>
      </c>
      <c r="O59" s="2">
        <f t="shared" si="8"/>
        <v>0</v>
      </c>
      <c r="P59" s="2" t="str">
        <f t="shared" si="8"/>
        <v/>
      </c>
      <c r="Q59" s="2" t="str">
        <f t="shared" si="8"/>
        <v/>
      </c>
      <c r="R59" s="2" t="str">
        <f t="shared" si="8"/>
        <v/>
      </c>
      <c r="S59" s="2" t="str">
        <f t="shared" si="8"/>
        <v/>
      </c>
      <c r="T59" s="2" t="str">
        <f t="shared" si="8"/>
        <v/>
      </c>
      <c r="U59" s="2" t="str">
        <f t="shared" si="8"/>
        <v/>
      </c>
      <c r="V59" s="2" t="str">
        <f t="shared" si="8"/>
        <v/>
      </c>
      <c r="W59" s="2" t="str">
        <f t="shared" si="8"/>
        <v/>
      </c>
      <c r="X59" s="2" t="str">
        <f t="shared" si="8"/>
        <v/>
      </c>
      <c r="Y59" s="2" t="str">
        <f t="shared" si="8"/>
        <v/>
      </c>
      <c r="Z59" s="2" t="str">
        <f t="shared" si="8"/>
        <v/>
      </c>
      <c r="AA59" s="2" t="str">
        <f t="shared" si="8"/>
        <v/>
      </c>
      <c r="AB59" s="2" t="str">
        <f t="shared" si="8"/>
        <v/>
      </c>
      <c r="AC59" s="2" t="str">
        <f t="shared" si="7"/>
        <v/>
      </c>
      <c r="AD59" s="2" t="str">
        <f t="shared" si="7"/>
        <v/>
      </c>
    </row>
    <row r="61" spans="1:30" x14ac:dyDescent="0.2">
      <c r="A61" t="s">
        <v>175</v>
      </c>
      <c r="C61" t="s">
        <v>137</v>
      </c>
      <c r="D61" t="s">
        <v>147</v>
      </c>
      <c r="E61" s="2">
        <v>1</v>
      </c>
      <c r="F61" s="2">
        <f t="shared" ref="F61:N61" si="9">IF(OR(F$14="",$E61=""),"",E61)</f>
        <v>1</v>
      </c>
      <c r="G61" s="2">
        <f t="shared" si="9"/>
        <v>1</v>
      </c>
      <c r="H61" s="2">
        <f t="shared" si="9"/>
        <v>1</v>
      </c>
      <c r="I61" s="2">
        <f t="shared" si="9"/>
        <v>1</v>
      </c>
      <c r="J61" s="2">
        <f t="shared" si="9"/>
        <v>1</v>
      </c>
      <c r="K61" s="2">
        <f t="shared" si="9"/>
        <v>1</v>
      </c>
      <c r="L61" s="2">
        <f t="shared" si="9"/>
        <v>1</v>
      </c>
      <c r="M61" s="2">
        <f t="shared" si="9"/>
        <v>1</v>
      </c>
      <c r="N61" s="2">
        <f t="shared" si="9"/>
        <v>1</v>
      </c>
      <c r="O61" s="2">
        <v>0</v>
      </c>
      <c r="P61" s="2" t="str">
        <f t="shared" ref="P61:AD61" si="10">IF(OR(P$14="",$E61=""),"",O61)</f>
        <v/>
      </c>
      <c r="Q61" s="2" t="str">
        <f t="shared" si="10"/>
        <v/>
      </c>
      <c r="R61" s="2" t="str">
        <f t="shared" si="10"/>
        <v/>
      </c>
      <c r="S61" s="2" t="str">
        <f t="shared" si="10"/>
        <v/>
      </c>
      <c r="T61" s="2" t="str">
        <f t="shared" si="10"/>
        <v/>
      </c>
      <c r="U61" s="2" t="str">
        <f t="shared" si="10"/>
        <v/>
      </c>
      <c r="V61" s="2" t="str">
        <f t="shared" si="10"/>
        <v/>
      </c>
      <c r="W61" s="2" t="str">
        <f t="shared" si="10"/>
        <v/>
      </c>
      <c r="X61" s="2" t="str">
        <f t="shared" si="10"/>
        <v/>
      </c>
      <c r="Y61" s="2" t="str">
        <f t="shared" si="10"/>
        <v/>
      </c>
      <c r="Z61" s="2" t="str">
        <f t="shared" si="10"/>
        <v/>
      </c>
      <c r="AA61" s="2" t="str">
        <f t="shared" si="10"/>
        <v/>
      </c>
      <c r="AB61" s="2" t="str">
        <f t="shared" si="10"/>
        <v/>
      </c>
      <c r="AC61" s="2" t="str">
        <f t="shared" si="10"/>
        <v/>
      </c>
      <c r="AD61" s="2" t="str">
        <f t="shared" si="10"/>
        <v/>
      </c>
    </row>
    <row r="63" spans="1:30" x14ac:dyDescent="0.2">
      <c r="A63" t="s">
        <v>176</v>
      </c>
      <c r="F63" s="2" t="str">
        <f>IF(OR(F$14="",$E63=""),"",E63)</f>
        <v/>
      </c>
    </row>
    <row r="64" spans="1:30" x14ac:dyDescent="0.2">
      <c r="A64" t="s">
        <v>177</v>
      </c>
      <c r="C64" t="s">
        <v>137</v>
      </c>
      <c r="D64" t="s">
        <v>24</v>
      </c>
      <c r="E64" s="2">
        <v>4</v>
      </c>
      <c r="F64" s="2">
        <f>IF(OR(F$14="",$E64=""),"",E64)</f>
        <v>4</v>
      </c>
      <c r="G64" s="2">
        <v>4</v>
      </c>
      <c r="H64" s="2">
        <v>4</v>
      </c>
      <c r="I64" s="2">
        <v>4</v>
      </c>
      <c r="J64" s="2">
        <v>4</v>
      </c>
      <c r="K64" s="2">
        <v>3</v>
      </c>
      <c r="L64" s="2">
        <v>0</v>
      </c>
      <c r="M64" s="2">
        <v>0</v>
      </c>
      <c r="N64" s="2">
        <v>0</v>
      </c>
      <c r="O64" s="2">
        <v>0</v>
      </c>
      <c r="AC64" s="2" t="str">
        <f t="shared" ref="AC64:AD67" si="11">IF(OR(AC$14="",$E64=""),"",AB64)</f>
        <v/>
      </c>
      <c r="AD64" s="2" t="str">
        <f t="shared" si="11"/>
        <v/>
      </c>
    </row>
    <row r="65" spans="1:30" x14ac:dyDescent="0.2">
      <c r="A65" t="s">
        <v>178</v>
      </c>
      <c r="C65" t="s">
        <v>137</v>
      </c>
      <c r="D65" t="s">
        <v>24</v>
      </c>
      <c r="E65" s="2">
        <v>2</v>
      </c>
      <c r="F65" s="2">
        <v>2</v>
      </c>
      <c r="G65" s="2">
        <v>2</v>
      </c>
      <c r="H65" s="2">
        <v>2</v>
      </c>
      <c r="I65" s="2">
        <v>2</v>
      </c>
      <c r="J65" s="2">
        <v>2</v>
      </c>
      <c r="K65" s="2">
        <v>2</v>
      </c>
      <c r="L65" s="2">
        <v>2</v>
      </c>
      <c r="M65" s="2">
        <v>0</v>
      </c>
      <c r="N65" s="2">
        <v>0</v>
      </c>
      <c r="O65" s="2">
        <v>0</v>
      </c>
      <c r="AC65" s="2" t="str">
        <f t="shared" si="11"/>
        <v/>
      </c>
      <c r="AD65" s="2" t="str">
        <f t="shared" si="11"/>
        <v/>
      </c>
    </row>
    <row r="66" spans="1:30" x14ac:dyDescent="0.2">
      <c r="AC66" s="2" t="str">
        <f t="shared" si="11"/>
        <v/>
      </c>
      <c r="AD66" s="2" t="str">
        <f t="shared" si="11"/>
        <v/>
      </c>
    </row>
    <row r="67" spans="1:30" x14ac:dyDescent="0.2">
      <c r="A67" t="s">
        <v>181</v>
      </c>
      <c r="AC67" s="2" t="str">
        <f t="shared" si="11"/>
        <v/>
      </c>
      <c r="AD67" s="2" t="str">
        <f t="shared" si="11"/>
        <v/>
      </c>
    </row>
    <row r="68" spans="1:30" x14ac:dyDescent="0.2">
      <c r="A68" t="s">
        <v>186</v>
      </c>
      <c r="C68" t="s">
        <v>125</v>
      </c>
      <c r="D68" t="s">
        <v>24</v>
      </c>
      <c r="E68" s="2">
        <v>6</v>
      </c>
      <c r="F68" s="2">
        <v>6</v>
      </c>
      <c r="G68" s="2">
        <v>6</v>
      </c>
      <c r="H68" s="2">
        <v>6</v>
      </c>
      <c r="I68" s="2">
        <v>6</v>
      </c>
      <c r="J68" s="2">
        <v>6</v>
      </c>
      <c r="K68" s="2">
        <v>6</v>
      </c>
      <c r="L68" s="2">
        <v>6</v>
      </c>
      <c r="M68" s="2">
        <v>6</v>
      </c>
      <c r="N68" s="2">
        <v>2</v>
      </c>
      <c r="O68" s="2">
        <v>0</v>
      </c>
    </row>
    <row r="69" spans="1:30" x14ac:dyDescent="0.2">
      <c r="A69" t="s">
        <v>184</v>
      </c>
      <c r="C69" t="s">
        <v>125</v>
      </c>
      <c r="D69" t="s">
        <v>31</v>
      </c>
      <c r="E69" s="2">
        <v>2</v>
      </c>
      <c r="F69" s="2">
        <v>2</v>
      </c>
      <c r="G69" s="2">
        <v>2</v>
      </c>
      <c r="H69" s="2">
        <v>2</v>
      </c>
      <c r="I69" s="2">
        <v>2</v>
      </c>
      <c r="J69" s="2">
        <v>2</v>
      </c>
      <c r="K69" s="2">
        <v>2</v>
      </c>
      <c r="L69" s="2">
        <v>1</v>
      </c>
      <c r="M69" s="2">
        <v>1</v>
      </c>
      <c r="N69" s="2">
        <v>1</v>
      </c>
      <c r="O69" s="2">
        <v>1</v>
      </c>
    </row>
    <row r="70" spans="1:30" x14ac:dyDescent="0.2">
      <c r="A70" t="s">
        <v>185</v>
      </c>
      <c r="C70" t="s">
        <v>125</v>
      </c>
      <c r="D70" t="s">
        <v>31</v>
      </c>
      <c r="E70" s="2">
        <v>4</v>
      </c>
      <c r="F70" s="2">
        <v>4</v>
      </c>
      <c r="G70" s="2">
        <v>4</v>
      </c>
      <c r="H70" s="2">
        <v>4</v>
      </c>
      <c r="I70" s="2">
        <v>4</v>
      </c>
      <c r="J70" s="2">
        <v>4</v>
      </c>
      <c r="K70" s="2">
        <v>4</v>
      </c>
      <c r="L70" s="2">
        <v>4</v>
      </c>
      <c r="M70" s="2">
        <v>4</v>
      </c>
      <c r="N70" s="2">
        <v>4</v>
      </c>
      <c r="O70" s="2">
        <v>4</v>
      </c>
    </row>
    <row r="72" spans="1:30" x14ac:dyDescent="0.2">
      <c r="A72" t="s">
        <v>188</v>
      </c>
    </row>
    <row r="73" spans="1:30" x14ac:dyDescent="0.2">
      <c r="A73" t="s">
        <v>189</v>
      </c>
      <c r="C73" t="s">
        <v>137</v>
      </c>
      <c r="D73" t="s">
        <v>24</v>
      </c>
      <c r="E73" s="2">
        <v>4</v>
      </c>
      <c r="F73" s="2">
        <v>4</v>
      </c>
      <c r="G73" s="2">
        <v>4</v>
      </c>
      <c r="H73" s="2">
        <v>4</v>
      </c>
      <c r="I73" s="2">
        <v>4</v>
      </c>
      <c r="J73" s="2">
        <v>4</v>
      </c>
      <c r="K73" s="2">
        <v>4</v>
      </c>
      <c r="L73" s="2">
        <v>4</v>
      </c>
      <c r="M73" s="2">
        <v>4</v>
      </c>
      <c r="N73" s="2">
        <v>2</v>
      </c>
      <c r="O73" s="2">
        <v>0</v>
      </c>
    </row>
    <row r="74" spans="1:30" x14ac:dyDescent="0.2">
      <c r="A74" t="s">
        <v>190</v>
      </c>
      <c r="C74" t="s">
        <v>137</v>
      </c>
      <c r="D74" t="s">
        <v>24</v>
      </c>
      <c r="E74" s="2">
        <v>3</v>
      </c>
      <c r="F74" s="2">
        <v>3</v>
      </c>
      <c r="G74" s="2">
        <v>3</v>
      </c>
      <c r="H74" s="2">
        <v>3</v>
      </c>
      <c r="I74" s="2">
        <v>3</v>
      </c>
      <c r="J74" s="2">
        <v>3</v>
      </c>
      <c r="K74" s="2">
        <v>3</v>
      </c>
      <c r="L74" s="2">
        <v>3</v>
      </c>
      <c r="M74" s="2">
        <v>3</v>
      </c>
      <c r="N74" s="2">
        <v>1</v>
      </c>
      <c r="O74" s="2">
        <v>0</v>
      </c>
    </row>
    <row r="75" spans="1:30" x14ac:dyDescent="0.2">
      <c r="A75" t="s">
        <v>191</v>
      </c>
      <c r="C75" t="s">
        <v>137</v>
      </c>
      <c r="D75" t="s">
        <v>24</v>
      </c>
      <c r="E75" s="2">
        <v>3</v>
      </c>
      <c r="F75" s="2">
        <v>3</v>
      </c>
      <c r="G75" s="2">
        <v>3</v>
      </c>
      <c r="H75" s="2">
        <v>3</v>
      </c>
      <c r="I75" s="2">
        <v>3</v>
      </c>
      <c r="J75" s="2">
        <v>3</v>
      </c>
      <c r="K75" s="2">
        <v>3</v>
      </c>
      <c r="L75" s="2">
        <v>3</v>
      </c>
      <c r="M75" s="2">
        <v>3</v>
      </c>
      <c r="N75" s="2">
        <v>3</v>
      </c>
      <c r="O75" s="2">
        <v>0</v>
      </c>
    </row>
    <row r="76" spans="1:30" x14ac:dyDescent="0.2">
      <c r="A76" t="s">
        <v>194</v>
      </c>
      <c r="C76" t="s">
        <v>125</v>
      </c>
      <c r="D76" t="s">
        <v>24</v>
      </c>
      <c r="E76" s="2">
        <v>1</v>
      </c>
      <c r="F76" s="2">
        <v>1</v>
      </c>
      <c r="G76" s="2">
        <v>1</v>
      </c>
      <c r="H76" s="2">
        <v>1</v>
      </c>
      <c r="I76" s="2">
        <v>1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</row>
    <row r="77" spans="1:30" x14ac:dyDescent="0.2">
      <c r="A77" t="s">
        <v>195</v>
      </c>
      <c r="C77" t="s">
        <v>153</v>
      </c>
      <c r="D77" t="s">
        <v>31</v>
      </c>
      <c r="E77" s="2">
        <v>2</v>
      </c>
      <c r="F77" s="2">
        <v>2</v>
      </c>
      <c r="G77" s="2">
        <v>2</v>
      </c>
      <c r="H77" s="2">
        <v>2</v>
      </c>
      <c r="I77" s="2">
        <v>2</v>
      </c>
      <c r="J77" s="2">
        <v>2</v>
      </c>
      <c r="K77" s="2">
        <v>2</v>
      </c>
      <c r="L77" s="2">
        <v>2</v>
      </c>
      <c r="M77" s="2">
        <v>2</v>
      </c>
      <c r="N77" s="2">
        <v>2</v>
      </c>
      <c r="O77" s="2">
        <v>2</v>
      </c>
    </row>
    <row r="78" spans="1:30" x14ac:dyDescent="0.2">
      <c r="AC78" s="2" t="str">
        <f>IF(OR(AC$14="",$E78=""),"",AB78)</f>
        <v/>
      </c>
      <c r="AD78" s="2" t="str">
        <f>IF(OR(AD$14="",$E78=""),"",AC78)</f>
        <v/>
      </c>
    </row>
    <row r="79" spans="1:30" x14ac:dyDescent="0.2">
      <c r="A79" t="s">
        <v>192</v>
      </c>
    </row>
    <row r="80" spans="1:30" x14ac:dyDescent="0.2">
      <c r="A80" t="s">
        <v>193</v>
      </c>
      <c r="C80" t="s">
        <v>137</v>
      </c>
      <c r="D80" t="s">
        <v>147</v>
      </c>
      <c r="E80" s="2">
        <v>6</v>
      </c>
      <c r="F80" s="2">
        <v>6</v>
      </c>
      <c r="G80" s="2">
        <v>6</v>
      </c>
      <c r="H80" s="2">
        <v>6</v>
      </c>
      <c r="I80" s="2">
        <v>6</v>
      </c>
      <c r="J80" s="2">
        <v>3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</row>
    <row r="81" spans="1:30" x14ac:dyDescent="0.2">
      <c r="A81" t="s">
        <v>196</v>
      </c>
      <c r="C81" t="s">
        <v>137</v>
      </c>
      <c r="D81" t="s">
        <v>147</v>
      </c>
      <c r="E81" s="2">
        <v>2</v>
      </c>
      <c r="F81" s="2">
        <v>2</v>
      </c>
      <c r="G81" s="2">
        <v>2</v>
      </c>
      <c r="H81" s="2">
        <v>2</v>
      </c>
      <c r="I81" s="2">
        <v>2</v>
      </c>
      <c r="J81" s="2">
        <v>2</v>
      </c>
      <c r="K81" s="2">
        <v>2</v>
      </c>
      <c r="L81" s="2">
        <v>2</v>
      </c>
      <c r="M81" s="2">
        <v>2</v>
      </c>
      <c r="N81" s="2">
        <v>2</v>
      </c>
      <c r="O81" s="2">
        <v>0</v>
      </c>
    </row>
    <row r="83" spans="1:30" x14ac:dyDescent="0.2">
      <c r="A83" t="s">
        <v>182</v>
      </c>
      <c r="D83" s="35"/>
      <c r="E83" s="34"/>
      <c r="AC83" s="2" t="str">
        <f t="shared" ref="AC83:AD100" si="12">IF(OR(AC$14="",$E83=""),"",AB83)</f>
        <v/>
      </c>
      <c r="AD83" s="2" t="str">
        <f t="shared" si="12"/>
        <v/>
      </c>
    </row>
    <row r="84" spans="1:30" x14ac:dyDescent="0.2">
      <c r="A84" s="35" t="s">
        <v>183</v>
      </c>
      <c r="B84" s="34"/>
      <c r="D84" s="35"/>
      <c r="E84" s="34"/>
      <c r="AC84" s="2" t="str">
        <f t="shared" si="12"/>
        <v/>
      </c>
      <c r="AD84" s="2" t="str">
        <f t="shared" si="12"/>
        <v/>
      </c>
    </row>
    <row r="85" spans="1:30" x14ac:dyDescent="0.2">
      <c r="A85" s="35"/>
      <c r="B85" s="34"/>
      <c r="D85" s="35"/>
      <c r="E85" s="34"/>
      <c r="AC85" s="2" t="str">
        <f t="shared" si="12"/>
        <v/>
      </c>
      <c r="AD85" s="2" t="str">
        <f t="shared" si="12"/>
        <v/>
      </c>
    </row>
    <row r="86" spans="1:30" x14ac:dyDescent="0.2">
      <c r="A86" s="35"/>
      <c r="B86" s="34"/>
      <c r="D86" s="35"/>
      <c r="E86" s="34"/>
      <c r="AC86" s="2" t="str">
        <f t="shared" si="12"/>
        <v/>
      </c>
      <c r="AD86" s="2" t="str">
        <f t="shared" si="12"/>
        <v/>
      </c>
    </row>
    <row r="87" spans="1:30" x14ac:dyDescent="0.2">
      <c r="A87" s="35"/>
      <c r="B87" s="34"/>
      <c r="D87" s="35"/>
      <c r="E87" s="34"/>
      <c r="AC87" s="2" t="str">
        <f t="shared" si="12"/>
        <v/>
      </c>
      <c r="AD87" s="2" t="str">
        <f t="shared" si="12"/>
        <v/>
      </c>
    </row>
    <row r="88" spans="1:30" x14ac:dyDescent="0.2">
      <c r="AC88" s="2" t="str">
        <f t="shared" si="12"/>
        <v/>
      </c>
      <c r="AD88" s="2" t="str">
        <f t="shared" si="12"/>
        <v/>
      </c>
    </row>
    <row r="89" spans="1:30" x14ac:dyDescent="0.2">
      <c r="AC89" s="2" t="str">
        <f t="shared" si="12"/>
        <v/>
      </c>
      <c r="AD89" s="2" t="str">
        <f t="shared" si="12"/>
        <v/>
      </c>
    </row>
    <row r="90" spans="1:30" x14ac:dyDescent="0.2">
      <c r="AC90" s="2" t="str">
        <f t="shared" si="12"/>
        <v/>
      </c>
      <c r="AD90" s="2" t="str">
        <f t="shared" si="12"/>
        <v/>
      </c>
    </row>
    <row r="91" spans="1:30" x14ac:dyDescent="0.2">
      <c r="AC91" s="2" t="str">
        <f t="shared" si="12"/>
        <v/>
      </c>
      <c r="AD91" s="2" t="str">
        <f t="shared" si="12"/>
        <v/>
      </c>
    </row>
    <row r="92" spans="1:30" x14ac:dyDescent="0.2">
      <c r="AC92" s="2" t="str">
        <f t="shared" si="12"/>
        <v/>
      </c>
      <c r="AD92" s="2" t="str">
        <f t="shared" si="12"/>
        <v/>
      </c>
    </row>
    <row r="93" spans="1:30" x14ac:dyDescent="0.2">
      <c r="AC93" s="2" t="str">
        <f t="shared" si="12"/>
        <v/>
      </c>
      <c r="AD93" s="2" t="str">
        <f t="shared" si="12"/>
        <v/>
      </c>
    </row>
    <row r="94" spans="1:30" x14ac:dyDescent="0.2">
      <c r="AC94" s="2" t="str">
        <f t="shared" si="12"/>
        <v/>
      </c>
      <c r="AD94" s="2" t="str">
        <f t="shared" si="12"/>
        <v/>
      </c>
    </row>
    <row r="95" spans="1:30" x14ac:dyDescent="0.2">
      <c r="AC95" s="2" t="str">
        <f t="shared" si="12"/>
        <v/>
      </c>
      <c r="AD95" s="2" t="str">
        <f t="shared" si="12"/>
        <v/>
      </c>
    </row>
    <row r="96" spans="1:30" x14ac:dyDescent="0.2">
      <c r="AC96" s="2" t="str">
        <f t="shared" si="12"/>
        <v/>
      </c>
      <c r="AD96" s="2" t="str">
        <f t="shared" si="12"/>
        <v/>
      </c>
    </row>
    <row r="97" spans="4:30" x14ac:dyDescent="0.2">
      <c r="AC97" s="2" t="str">
        <f t="shared" si="12"/>
        <v/>
      </c>
      <c r="AD97" s="2" t="str">
        <f t="shared" si="12"/>
        <v/>
      </c>
    </row>
    <row r="98" spans="4:30" x14ac:dyDescent="0.2">
      <c r="AC98" s="2" t="str">
        <f t="shared" si="12"/>
        <v/>
      </c>
      <c r="AD98" s="2" t="str">
        <f t="shared" si="12"/>
        <v/>
      </c>
    </row>
    <row r="99" spans="4:30" x14ac:dyDescent="0.2">
      <c r="AC99" s="2" t="str">
        <f t="shared" si="12"/>
        <v/>
      </c>
      <c r="AD99" s="2" t="str">
        <f t="shared" si="12"/>
        <v/>
      </c>
    </row>
    <row r="100" spans="4:30" x14ac:dyDescent="0.2">
      <c r="AC100" s="2" t="str">
        <f t="shared" si="12"/>
        <v/>
      </c>
      <c r="AD100" s="2" t="str">
        <f t="shared" si="12"/>
        <v/>
      </c>
    </row>
    <row r="105" spans="4:30" x14ac:dyDescent="0.2">
      <c r="D105" t="str">
        <f>IF(A105&lt;&gt;"","Planned","")</f>
        <v/>
      </c>
    </row>
  </sheetData>
  <conditionalFormatting sqref="B36:C38 A37:A38 A28:C35 D28:AD38 A39:AD99 A25:AD27 A15:AD21">
    <cfRule type="expression" dxfId="17" priority="9" stopIfTrue="1">
      <formula>$D15="Done"</formula>
    </cfRule>
    <cfRule type="expression" dxfId="16" priority="10" stopIfTrue="1">
      <formula>$D15="Ongoing"</formula>
    </cfRule>
  </conditionalFormatting>
  <conditionalFormatting sqref="A36">
    <cfRule type="expression" dxfId="15" priority="122" stopIfTrue="1">
      <formula>$D37="Done"</formula>
    </cfRule>
    <cfRule type="expression" dxfId="14" priority="123" stopIfTrue="1">
      <formula>$D37="Ongoing"</formula>
    </cfRule>
  </conditionalFormatting>
  <dataValidations count="1">
    <dataValidation type="list" allowBlank="1" showInputMessage="1" sqref="D3:D8 D15:D21 D25:D105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65"/>
  <sheetViews>
    <sheetView tabSelected="1" zoomScale="110" zoomScaleNormal="110" workbookViewId="0">
      <pane ySplit="14" topLeftCell="A45" activePane="bottomLeft" state="frozen"/>
      <selection pane="bottomLeft" activeCell="A66" sqref="A6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10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75</v>
      </c>
      <c r="F10" s="17">
        <f ca="1">IF(AND(SUM(OFFSET(F14,1,0,TaskRows,1))=0),0,SUM(OFFSET(F14,1,0,TaskRows,1)))</f>
        <v>78</v>
      </c>
      <c r="G10" s="17">
        <f t="shared" ref="G10:AD10" ca="1" si="0">IF(AND(SUM(OFFSET(G14,1,0,TaskRows,1))=0),"",SUM(OFFSET(G14,1,0,TaskRows,1)))</f>
        <v>41</v>
      </c>
      <c r="H10" s="17">
        <f t="shared" ca="1" si="0"/>
        <v>29</v>
      </c>
      <c r="I10" s="17">
        <f t="shared" ca="1" si="0"/>
        <v>15</v>
      </c>
      <c r="J10" s="17">
        <f t="shared" ca="1" si="0"/>
        <v>8</v>
      </c>
      <c r="K10" s="17">
        <f t="shared" ca="1" si="0"/>
        <v>6</v>
      </c>
      <c r="L10" s="17">
        <f t="shared" ca="1" si="0"/>
        <v>5</v>
      </c>
      <c r="M10" s="17">
        <f t="shared" ca="1" si="0"/>
        <v>5</v>
      </c>
      <c r="N10" s="17">
        <f t="shared" ca="1" si="0"/>
        <v>5</v>
      </c>
      <c r="O10" s="17">
        <f t="shared" ca="1" si="0"/>
        <v>5</v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IF(COUNTA(A15:A216)=0,1,COUNTA(A15:A216))</f>
        <v>39</v>
      </c>
      <c r="C11" t="s">
        <v>104</v>
      </c>
      <c r="D11" s="2">
        <f ca="1">IF(COUNTIF(F10:AD10,"&gt;0")=0,1,COUNTIF(F10:AD10,"&gt;0"))</f>
        <v>10</v>
      </c>
      <c r="F11" s="2">
        <f ca="1">IF(F14="","",$E10-$E10/($B9-1)*(F14-1))</f>
        <v>75</v>
      </c>
      <c r="G11" s="2">
        <f t="shared" ref="G11:AD11" ca="1" si="1">IF(G14="","",TotalEffort-TotalEffort/(ImplementationDays)*(G14-1))</f>
        <v>67.5</v>
      </c>
      <c r="H11" s="2">
        <f t="shared" ca="1" si="1"/>
        <v>60</v>
      </c>
      <c r="I11" s="2">
        <f t="shared" ca="1" si="1"/>
        <v>52.5</v>
      </c>
      <c r="J11" s="2">
        <f t="shared" ca="1" si="1"/>
        <v>45</v>
      </c>
      <c r="K11" s="2">
        <f t="shared" ca="1" si="1"/>
        <v>37.5</v>
      </c>
      <c r="L11" s="2">
        <f t="shared" ca="1" si="1"/>
        <v>30</v>
      </c>
      <c r="M11" s="2">
        <f t="shared" ca="1" si="1"/>
        <v>22.5</v>
      </c>
      <c r="N11" s="2">
        <f t="shared" ca="1" si="1"/>
        <v>15</v>
      </c>
      <c r="O11" s="2">
        <f t="shared" ca="1" si="1"/>
        <v>7.5</v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9.0095238095238113</v>
      </c>
      <c r="G12" s="2">
        <f t="shared" ca="1" si="2"/>
        <v>8.495238095238097</v>
      </c>
      <c r="H12" s="2">
        <f t="shared" ca="1" si="2"/>
        <v>7.9809523809523819</v>
      </c>
      <c r="I12" s="2">
        <f t="shared" ca="1" si="2"/>
        <v>7.4666666666666677</v>
      </c>
      <c r="J12" s="2">
        <f t="shared" ca="1" si="2"/>
        <v>6.9523809523809534</v>
      </c>
      <c r="K12" s="2">
        <f t="shared" ca="1" si="2"/>
        <v>6.4380952380952383</v>
      </c>
      <c r="L12" s="2">
        <f t="shared" ca="1" si="2"/>
        <v>5.9238095238095241</v>
      </c>
      <c r="M12" s="2">
        <f t="shared" ca="1" si="2"/>
        <v>5.4095238095238098</v>
      </c>
      <c r="N12" s="2">
        <f t="shared" ca="1" si="2"/>
        <v>4.8952380952380956</v>
      </c>
      <c r="O12" s="2">
        <f t="shared" ca="1" si="2"/>
        <v>4.3809523809523814</v>
      </c>
      <c r="P12" s="2">
        <f t="shared" ca="1" si="2"/>
        <v>3.8666666666666663</v>
      </c>
      <c r="Q12" s="2">
        <f t="shared" ca="1" si="2"/>
        <v>3.352380952380952</v>
      </c>
      <c r="R12" s="2">
        <f t="shared" ca="1" si="2"/>
        <v>2.8380952380952378</v>
      </c>
      <c r="S12" s="2">
        <f t="shared" ca="1" si="2"/>
        <v>2.3238095238095227</v>
      </c>
      <c r="T12" s="2">
        <f t="shared" ca="1" si="2"/>
        <v>1.8095238095238084</v>
      </c>
      <c r="U12" s="2">
        <f t="shared" ca="1" si="2"/>
        <v>1.2952380952380942</v>
      </c>
      <c r="V12" s="2">
        <f t="shared" ca="1" si="2"/>
        <v>0.78095238095237995</v>
      </c>
      <c r="W12" s="2">
        <f t="shared" ca="1" si="2"/>
        <v>0.26666666666666572</v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6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131</v>
      </c>
      <c r="B15" s="34">
        <v>5</v>
      </c>
      <c r="C15" t="s">
        <v>123</v>
      </c>
      <c r="D15" s="35" t="s">
        <v>24</v>
      </c>
      <c r="E15" s="34">
        <v>3</v>
      </c>
      <c r="F15" s="34">
        <v>3</v>
      </c>
      <c r="G15" s="34">
        <v>2</v>
      </c>
      <c r="H15" s="34">
        <v>0</v>
      </c>
      <c r="I15" s="34">
        <v>0</v>
      </c>
      <c r="J15" s="34">
        <v>0</v>
      </c>
      <c r="K15" s="34">
        <v>0</v>
      </c>
      <c r="L15" s="34">
        <v>0</v>
      </c>
      <c r="M15" s="34">
        <v>0</v>
      </c>
      <c r="N15" s="34">
        <v>0</v>
      </c>
      <c r="O15" s="2">
        <v>0</v>
      </c>
      <c r="AC15" s="2" t="str">
        <f t="shared" ref="AC15:AD21" si="4">IF(OR(AC$14="",$E15=""),"",AB15)</f>
        <v/>
      </c>
      <c r="AD15" s="2" t="str">
        <f t="shared" si="4"/>
        <v/>
      </c>
    </row>
    <row r="16" spans="1:30" x14ac:dyDescent="0.2">
      <c r="A16" s="35" t="s">
        <v>150</v>
      </c>
      <c r="B16" s="34"/>
      <c r="C16" t="s">
        <v>137</v>
      </c>
      <c r="D16" s="35" t="s">
        <v>39</v>
      </c>
      <c r="E16" s="34">
        <v>2</v>
      </c>
      <c r="F16" s="34">
        <v>2</v>
      </c>
      <c r="G16" s="34"/>
      <c r="H16" s="34"/>
      <c r="I16" s="34"/>
      <c r="J16" s="34"/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215</v>
      </c>
      <c r="B17" s="34"/>
      <c r="C17" t="s">
        <v>123</v>
      </c>
      <c r="D17" s="35" t="s">
        <v>24</v>
      </c>
      <c r="E17" s="34">
        <v>4</v>
      </c>
      <c r="F17" s="34">
        <v>4</v>
      </c>
      <c r="G17" s="34">
        <v>2</v>
      </c>
      <c r="H17" s="34">
        <v>0</v>
      </c>
      <c r="I17" s="34">
        <v>0</v>
      </c>
      <c r="J17" s="34">
        <v>0</v>
      </c>
      <c r="K17" s="34">
        <v>0</v>
      </c>
      <c r="L17" s="34">
        <v>0</v>
      </c>
      <c r="M17" s="34">
        <v>0</v>
      </c>
      <c r="N17" s="34">
        <v>0</v>
      </c>
      <c r="O17" s="34">
        <v>0</v>
      </c>
    </row>
    <row r="18" spans="1:30" x14ac:dyDescent="0.2">
      <c r="A18" s="35"/>
      <c r="B18" s="34"/>
      <c r="D18" s="35"/>
      <c r="E18" s="34"/>
      <c r="F18" s="34"/>
      <c r="G18" s="34"/>
      <c r="H18" s="34"/>
      <c r="I18" s="34"/>
      <c r="J18" s="34"/>
    </row>
    <row r="19" spans="1:30" ht="15" x14ac:dyDescent="0.25">
      <c r="A19" s="84" t="s">
        <v>216</v>
      </c>
      <c r="B19" s="83">
        <v>3</v>
      </c>
      <c r="C19" s="86" t="s">
        <v>137</v>
      </c>
      <c r="D19" s="84" t="s">
        <v>24</v>
      </c>
      <c r="E19" s="83">
        <v>5</v>
      </c>
      <c r="F19" s="83">
        <v>5</v>
      </c>
      <c r="G19" s="83">
        <v>0</v>
      </c>
      <c r="H19" s="83">
        <v>0</v>
      </c>
      <c r="I19" s="83">
        <v>0</v>
      </c>
      <c r="J19" s="83">
        <v>0</v>
      </c>
      <c r="K19" s="83">
        <v>0</v>
      </c>
      <c r="L19" s="83">
        <v>0</v>
      </c>
      <c r="M19" s="83">
        <v>0</v>
      </c>
      <c r="N19" s="83">
        <v>0</v>
      </c>
      <c r="O19" s="83">
        <v>0</v>
      </c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</row>
    <row r="20" spans="1:30" ht="15" x14ac:dyDescent="0.25">
      <c r="A20" s="84" t="s">
        <v>217</v>
      </c>
      <c r="B20" s="83">
        <v>3</v>
      </c>
      <c r="C20" s="86" t="s">
        <v>137</v>
      </c>
      <c r="D20" s="84" t="s">
        <v>24</v>
      </c>
      <c r="E20" s="83">
        <v>5</v>
      </c>
      <c r="F20" s="83">
        <v>5</v>
      </c>
      <c r="G20" s="83">
        <v>0</v>
      </c>
      <c r="H20" s="83">
        <v>0</v>
      </c>
      <c r="I20" s="83">
        <v>0</v>
      </c>
      <c r="J20" s="83">
        <v>0</v>
      </c>
      <c r="K20" s="83">
        <v>0</v>
      </c>
      <c r="L20" s="83">
        <v>0</v>
      </c>
      <c r="M20" s="83">
        <v>0</v>
      </c>
      <c r="N20" s="83">
        <v>0</v>
      </c>
      <c r="O20" s="83">
        <v>0</v>
      </c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</row>
    <row r="21" spans="1:30" x14ac:dyDescent="0.2">
      <c r="A21" s="35"/>
      <c r="B21" s="34"/>
      <c r="D21" s="35"/>
      <c r="E21" s="34"/>
      <c r="F21" s="34"/>
      <c r="G21" s="34"/>
      <c r="H21" s="34"/>
      <c r="I21" s="34"/>
      <c r="J21" s="34"/>
      <c r="AC21" s="2" t="str">
        <f t="shared" si="4"/>
        <v/>
      </c>
      <c r="AD21" s="2" t="str">
        <f t="shared" si="4"/>
        <v/>
      </c>
    </row>
    <row r="22" spans="1:30" x14ac:dyDescent="0.2">
      <c r="A22" s="35" t="s">
        <v>197</v>
      </c>
      <c r="B22" s="34">
        <v>6</v>
      </c>
      <c r="D22" s="35"/>
      <c r="E22" s="34"/>
      <c r="F22" s="34"/>
      <c r="G22" s="34"/>
      <c r="H22" s="34"/>
      <c r="I22" s="34"/>
      <c r="J22" s="34"/>
      <c r="AC22" s="2" t="str">
        <f t="shared" ref="AC22:AD30" si="5">IF(OR(AC$14="",$E22=""),"",AB22)</f>
        <v/>
      </c>
      <c r="AD22" s="2" t="str">
        <f t="shared" si="5"/>
        <v/>
      </c>
    </row>
    <row r="23" spans="1:30" x14ac:dyDescent="0.2">
      <c r="A23" s="35" t="s">
        <v>158</v>
      </c>
      <c r="B23" s="34">
        <v>6</v>
      </c>
      <c r="C23" t="s">
        <v>153</v>
      </c>
      <c r="D23" s="35" t="s">
        <v>147</v>
      </c>
      <c r="E23" s="34">
        <v>5</v>
      </c>
      <c r="F23" s="34">
        <v>5</v>
      </c>
      <c r="G23" s="34">
        <v>3</v>
      </c>
      <c r="H23" s="34">
        <v>2</v>
      </c>
      <c r="I23" s="34">
        <v>0</v>
      </c>
      <c r="J23" s="34">
        <v>0</v>
      </c>
      <c r="K23" s="34">
        <v>0</v>
      </c>
      <c r="L23" s="34">
        <v>0</v>
      </c>
      <c r="M23" s="34">
        <v>0</v>
      </c>
      <c r="N23" s="34">
        <v>0</v>
      </c>
      <c r="O23" s="34">
        <v>0</v>
      </c>
      <c r="AC23" s="2" t="str">
        <f t="shared" si="5"/>
        <v/>
      </c>
      <c r="AD23" s="2" t="str">
        <f t="shared" si="5"/>
        <v/>
      </c>
    </row>
    <row r="24" spans="1:30" x14ac:dyDescent="0.2">
      <c r="A24" s="35" t="s">
        <v>159</v>
      </c>
      <c r="B24" s="34">
        <v>6</v>
      </c>
      <c r="C24" t="s">
        <v>153</v>
      </c>
      <c r="D24" s="35" t="s">
        <v>147</v>
      </c>
      <c r="E24" s="34">
        <v>2</v>
      </c>
      <c r="F24" s="34">
        <v>5</v>
      </c>
      <c r="G24" s="34">
        <v>5</v>
      </c>
      <c r="H24" s="34">
        <v>3</v>
      </c>
      <c r="I24" s="34">
        <v>2</v>
      </c>
      <c r="J24" s="34">
        <v>0</v>
      </c>
      <c r="K24" s="34">
        <v>0</v>
      </c>
      <c r="L24" s="34">
        <v>0</v>
      </c>
      <c r="M24" s="34">
        <v>0</v>
      </c>
      <c r="N24" s="34">
        <v>0</v>
      </c>
      <c r="O24" s="34">
        <v>0</v>
      </c>
      <c r="AC24" s="2" t="str">
        <f t="shared" si="5"/>
        <v/>
      </c>
      <c r="AD24" s="2" t="str">
        <f t="shared" si="5"/>
        <v/>
      </c>
    </row>
    <row r="25" spans="1:30" x14ac:dyDescent="0.2">
      <c r="A25" s="35" t="s">
        <v>218</v>
      </c>
      <c r="B25" s="34">
        <v>6</v>
      </c>
      <c r="C25" t="s">
        <v>125</v>
      </c>
      <c r="D25" s="35" t="s">
        <v>147</v>
      </c>
      <c r="E25" s="34">
        <v>2</v>
      </c>
      <c r="F25" s="34">
        <v>2</v>
      </c>
      <c r="G25" s="34">
        <v>2</v>
      </c>
      <c r="H25" s="34">
        <v>2</v>
      </c>
      <c r="I25" s="34">
        <v>0</v>
      </c>
      <c r="J25" s="34">
        <v>0</v>
      </c>
      <c r="K25" s="34">
        <v>0</v>
      </c>
      <c r="L25" s="34">
        <v>0</v>
      </c>
      <c r="M25" s="34">
        <v>0</v>
      </c>
      <c r="N25" s="34">
        <v>0</v>
      </c>
      <c r="O25" s="34">
        <v>0</v>
      </c>
      <c r="AC25" s="2" t="str">
        <f t="shared" ref="AC25:AD27" si="6">IF(OR(AC$14="",$E25=""),"",AB25)</f>
        <v/>
      </c>
      <c r="AD25" s="2" t="str">
        <f t="shared" si="6"/>
        <v/>
      </c>
    </row>
    <row r="26" spans="1:30" x14ac:dyDescent="0.2">
      <c r="A26" s="35" t="s">
        <v>202</v>
      </c>
      <c r="B26" s="34">
        <v>6</v>
      </c>
      <c r="C26" t="s">
        <v>153</v>
      </c>
      <c r="D26" s="35" t="s">
        <v>147</v>
      </c>
      <c r="E26" s="34">
        <v>5</v>
      </c>
      <c r="F26" s="34">
        <v>5</v>
      </c>
      <c r="G26" s="34">
        <v>5</v>
      </c>
      <c r="H26" s="34">
        <v>5</v>
      </c>
      <c r="I26" s="34">
        <v>5</v>
      </c>
      <c r="J26" s="34">
        <v>3</v>
      </c>
      <c r="K26" s="2">
        <v>1</v>
      </c>
      <c r="L26" s="2">
        <v>0</v>
      </c>
      <c r="M26" s="2">
        <v>0</v>
      </c>
      <c r="N26" s="2">
        <v>0</v>
      </c>
      <c r="O26" s="2">
        <v>0</v>
      </c>
      <c r="AC26" s="2" t="str">
        <f t="shared" si="6"/>
        <v/>
      </c>
      <c r="AD26" s="2" t="str">
        <f t="shared" si="6"/>
        <v/>
      </c>
    </row>
    <row r="27" spans="1:30" x14ac:dyDescent="0.2">
      <c r="A27" s="35" t="s">
        <v>203</v>
      </c>
      <c r="B27" s="34">
        <v>6</v>
      </c>
      <c r="C27" t="s">
        <v>153</v>
      </c>
      <c r="D27" s="35" t="s">
        <v>147</v>
      </c>
      <c r="E27" s="34">
        <v>5</v>
      </c>
      <c r="F27" s="34">
        <v>5</v>
      </c>
      <c r="G27" s="34">
        <v>5</v>
      </c>
      <c r="H27" s="34">
        <v>4</v>
      </c>
      <c r="I27" s="34">
        <v>3</v>
      </c>
      <c r="J27" s="34">
        <v>0</v>
      </c>
      <c r="K27" s="34">
        <v>0</v>
      </c>
      <c r="L27" s="34">
        <v>0</v>
      </c>
      <c r="M27" s="34">
        <v>0</v>
      </c>
      <c r="N27" s="34">
        <v>0</v>
      </c>
      <c r="O27" s="34">
        <v>0</v>
      </c>
      <c r="AC27" s="2" t="str">
        <f t="shared" si="6"/>
        <v/>
      </c>
      <c r="AD27" s="2" t="str">
        <f t="shared" si="6"/>
        <v/>
      </c>
    </row>
    <row r="28" spans="1:30" x14ac:dyDescent="0.2">
      <c r="A28" s="35"/>
      <c r="B28" s="34"/>
      <c r="D28" s="35"/>
      <c r="E28" s="34"/>
      <c r="F28" s="34"/>
      <c r="G28" s="34"/>
      <c r="H28" s="34"/>
      <c r="I28" s="34"/>
      <c r="J28" s="34"/>
      <c r="AC28" s="2" t="str">
        <f t="shared" si="5"/>
        <v/>
      </c>
      <c r="AD28" s="2" t="str">
        <f t="shared" si="5"/>
        <v/>
      </c>
    </row>
    <row r="29" spans="1:30" x14ac:dyDescent="0.2">
      <c r="A29" s="35" t="s">
        <v>164</v>
      </c>
      <c r="C29" t="s">
        <v>137</v>
      </c>
      <c r="D29" t="s">
        <v>31</v>
      </c>
      <c r="E29" s="2">
        <v>1</v>
      </c>
      <c r="F29" s="2">
        <v>1</v>
      </c>
      <c r="G29" s="2">
        <v>1</v>
      </c>
      <c r="H29" s="2">
        <v>1</v>
      </c>
      <c r="I29" s="2">
        <v>1</v>
      </c>
      <c r="J29" s="2">
        <v>1</v>
      </c>
      <c r="K29" s="2">
        <v>1</v>
      </c>
      <c r="L29" s="2">
        <v>1</v>
      </c>
      <c r="M29" s="2">
        <v>1</v>
      </c>
      <c r="N29" s="2">
        <v>1</v>
      </c>
      <c r="O29" s="2">
        <v>1</v>
      </c>
      <c r="AC29" s="2" t="str">
        <f t="shared" si="5"/>
        <v/>
      </c>
      <c r="AD29" s="2" t="str">
        <f t="shared" si="5"/>
        <v/>
      </c>
    </row>
    <row r="30" spans="1:30" x14ac:dyDescent="0.2">
      <c r="A30" s="35"/>
      <c r="AC30" s="2" t="str">
        <f t="shared" si="5"/>
        <v/>
      </c>
      <c r="AD30" s="2" t="str">
        <f t="shared" si="5"/>
        <v/>
      </c>
    </row>
    <row r="31" spans="1:30" x14ac:dyDescent="0.2">
      <c r="A31" t="s">
        <v>181</v>
      </c>
    </row>
    <row r="32" spans="1:30" x14ac:dyDescent="0.2">
      <c r="A32" t="s">
        <v>204</v>
      </c>
      <c r="C32" t="s">
        <v>125</v>
      </c>
      <c r="D32" t="s">
        <v>147</v>
      </c>
      <c r="E32" s="2">
        <v>1</v>
      </c>
      <c r="F32" s="2">
        <v>1</v>
      </c>
      <c r="G32" s="2">
        <v>0</v>
      </c>
    </row>
    <row r="33" spans="1:15" x14ac:dyDescent="0.2">
      <c r="A33" t="s">
        <v>205</v>
      </c>
      <c r="C33" t="s">
        <v>125</v>
      </c>
      <c r="D33" t="s">
        <v>31</v>
      </c>
      <c r="E33" s="2">
        <v>1</v>
      </c>
      <c r="F33" s="2">
        <v>1</v>
      </c>
    </row>
    <row r="34" spans="1:15" x14ac:dyDescent="0.2">
      <c r="A34" t="s">
        <v>206</v>
      </c>
      <c r="C34" t="s">
        <v>125</v>
      </c>
      <c r="D34" t="s">
        <v>219</v>
      </c>
    </row>
    <row r="36" spans="1:15" x14ac:dyDescent="0.2">
      <c r="A36" t="s">
        <v>198</v>
      </c>
    </row>
    <row r="37" spans="1:15" x14ac:dyDescent="0.2">
      <c r="A37" t="s">
        <v>199</v>
      </c>
      <c r="B37" s="2">
        <v>9</v>
      </c>
      <c r="C37" t="s">
        <v>130</v>
      </c>
      <c r="D37" t="s">
        <v>24</v>
      </c>
      <c r="E37" s="2">
        <v>2</v>
      </c>
      <c r="F37" s="2">
        <v>2</v>
      </c>
      <c r="G37" s="2">
        <v>2</v>
      </c>
      <c r="H37" s="2">
        <v>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</row>
    <row r="38" spans="1:15" x14ac:dyDescent="0.2">
      <c r="A38" t="s">
        <v>200</v>
      </c>
      <c r="B38" s="2">
        <v>9</v>
      </c>
      <c r="C38" t="s">
        <v>130</v>
      </c>
      <c r="D38" t="s">
        <v>24</v>
      </c>
      <c r="E38" s="2">
        <v>5</v>
      </c>
      <c r="F38" s="2">
        <v>5</v>
      </c>
      <c r="G38" s="2">
        <v>5</v>
      </c>
      <c r="H38" s="2">
        <v>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</row>
    <row r="39" spans="1:15" x14ac:dyDescent="0.2">
      <c r="A39" t="s">
        <v>201</v>
      </c>
      <c r="B39" s="2">
        <v>9</v>
      </c>
      <c r="C39" t="s">
        <v>130</v>
      </c>
      <c r="D39" t="s">
        <v>24</v>
      </c>
      <c r="E39" s="2">
        <v>5</v>
      </c>
      <c r="F39" s="2">
        <v>5</v>
      </c>
      <c r="G39" s="2">
        <v>5</v>
      </c>
      <c r="H39" s="2">
        <v>3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</row>
    <row r="41" spans="1:15" x14ac:dyDescent="0.2">
      <c r="A41" t="s">
        <v>207</v>
      </c>
    </row>
    <row r="42" spans="1:15" x14ac:dyDescent="0.2">
      <c r="A42" t="s">
        <v>208</v>
      </c>
      <c r="B42" s="2">
        <v>7</v>
      </c>
      <c r="C42" t="s">
        <v>137</v>
      </c>
      <c r="D42" t="s">
        <v>24</v>
      </c>
      <c r="E42" s="2">
        <v>2</v>
      </c>
      <c r="F42" s="2">
        <v>2</v>
      </c>
    </row>
    <row r="43" spans="1:15" x14ac:dyDescent="0.2">
      <c r="A43" t="s">
        <v>209</v>
      </c>
      <c r="B43" s="2">
        <v>10</v>
      </c>
      <c r="C43" t="s">
        <v>137</v>
      </c>
      <c r="D43" t="s">
        <v>31</v>
      </c>
      <c r="E43" s="2">
        <v>4</v>
      </c>
      <c r="F43" s="2">
        <v>4</v>
      </c>
    </row>
    <row r="44" spans="1:15" x14ac:dyDescent="0.2">
      <c r="A44" t="s">
        <v>210</v>
      </c>
      <c r="B44" s="2">
        <v>7</v>
      </c>
      <c r="C44" t="s">
        <v>137</v>
      </c>
      <c r="D44" t="s">
        <v>31</v>
      </c>
      <c r="E44" s="2">
        <v>4</v>
      </c>
      <c r="F44" s="2">
        <v>4</v>
      </c>
    </row>
    <row r="45" spans="1:15" x14ac:dyDescent="0.2">
      <c r="A45" t="s">
        <v>211</v>
      </c>
      <c r="B45" s="2">
        <v>7</v>
      </c>
      <c r="D45" t="s">
        <v>39</v>
      </c>
      <c r="E45" s="2">
        <v>4</v>
      </c>
      <c r="F45" s="2">
        <v>4</v>
      </c>
    </row>
    <row r="47" spans="1:15" x14ac:dyDescent="0.2">
      <c r="A47" t="s">
        <v>212</v>
      </c>
    </row>
    <row r="49" spans="1:15" x14ac:dyDescent="0.2">
      <c r="A49" t="s">
        <v>213</v>
      </c>
      <c r="C49" t="s">
        <v>125</v>
      </c>
      <c r="D49" t="s">
        <v>147</v>
      </c>
      <c r="E49" s="2">
        <v>2</v>
      </c>
      <c r="F49" s="2">
        <v>2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</row>
    <row r="50" spans="1:15" x14ac:dyDescent="0.2">
      <c r="A50" t="s">
        <v>220</v>
      </c>
      <c r="C50" t="s">
        <v>132</v>
      </c>
      <c r="D50" t="s">
        <v>147</v>
      </c>
      <c r="E50" s="2">
        <v>2</v>
      </c>
      <c r="F50" s="2">
        <v>2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</row>
    <row r="52" spans="1:15" x14ac:dyDescent="0.2">
      <c r="A52" t="s">
        <v>214</v>
      </c>
      <c r="C52" t="s">
        <v>137</v>
      </c>
      <c r="D52" t="s">
        <v>31</v>
      </c>
      <c r="E52" s="2">
        <v>4</v>
      </c>
      <c r="F52" s="2">
        <v>4</v>
      </c>
      <c r="G52" s="2">
        <v>4</v>
      </c>
      <c r="H52" s="2">
        <v>4</v>
      </c>
      <c r="I52" s="2">
        <v>4</v>
      </c>
      <c r="J52" s="2">
        <v>4</v>
      </c>
      <c r="K52" s="2">
        <v>4</v>
      </c>
      <c r="L52" s="2">
        <v>4</v>
      </c>
      <c r="M52" s="2">
        <v>4</v>
      </c>
      <c r="N52" s="2">
        <v>4</v>
      </c>
      <c r="O52" s="2">
        <v>4</v>
      </c>
    </row>
    <row r="54" spans="1:15" x14ac:dyDescent="0.2">
      <c r="A54" t="s">
        <v>221</v>
      </c>
      <c r="C54" t="s">
        <v>137</v>
      </c>
      <c r="D54" s="35" t="s">
        <v>222</v>
      </c>
      <c r="E54" s="34">
        <v>10</v>
      </c>
    </row>
    <row r="55" spans="1:15" x14ac:dyDescent="0.2">
      <c r="A55" s="35"/>
      <c r="B55" s="34"/>
      <c r="D55" s="35"/>
      <c r="E55" s="34"/>
    </row>
    <row r="56" spans="1:15" x14ac:dyDescent="0.2">
      <c r="A56" s="35" t="s">
        <v>224</v>
      </c>
      <c r="B56" s="34"/>
      <c r="D56" s="35"/>
      <c r="E56" s="34"/>
    </row>
    <row r="57" spans="1:15" x14ac:dyDescent="0.2">
      <c r="A57" t="s">
        <v>223</v>
      </c>
    </row>
    <row r="58" spans="1:15" x14ac:dyDescent="0.2">
      <c r="A58" t="s">
        <v>229</v>
      </c>
    </row>
    <row r="59" spans="1:15" x14ac:dyDescent="0.2">
      <c r="A59" t="s">
        <v>226</v>
      </c>
    </row>
    <row r="60" spans="1:15" x14ac:dyDescent="0.2">
      <c r="A60" t="s">
        <v>227</v>
      </c>
    </row>
    <row r="61" spans="1:15" x14ac:dyDescent="0.2">
      <c r="A61" t="s">
        <v>225</v>
      </c>
    </row>
    <row r="62" spans="1:15" x14ac:dyDescent="0.2">
      <c r="A62" t="s">
        <v>228</v>
      </c>
    </row>
    <row r="64" spans="1:15" x14ac:dyDescent="0.2">
      <c r="A64" t="s">
        <v>230</v>
      </c>
    </row>
    <row r="65" spans="1:1" x14ac:dyDescent="0.2">
      <c r="A65" t="s">
        <v>231</v>
      </c>
    </row>
  </sheetData>
  <conditionalFormatting sqref="A21:C22 A25:C25 P21:AD30 A15:AD17 D21:O28 A29:O56 A57:A62 A64:A65">
    <cfRule type="expression" dxfId="13" priority="9" stopIfTrue="1">
      <formula>$D15="Done"</formula>
    </cfRule>
    <cfRule type="expression" dxfId="12" priority="10" stopIfTrue="1">
      <formula>$D15="Ongoing"</formula>
    </cfRule>
  </conditionalFormatting>
  <conditionalFormatting sqref="B23:C24 A24 A26:C28">
    <cfRule type="expression" dxfId="11" priority="3" stopIfTrue="1">
      <formula>$D23="Done"</formula>
    </cfRule>
    <cfRule type="expression" dxfId="10" priority="4" stopIfTrue="1">
      <formula>$D23="Ongoing"</formula>
    </cfRule>
  </conditionalFormatting>
  <conditionalFormatting sqref="A23">
    <cfRule type="expression" dxfId="9" priority="5" stopIfTrue="1">
      <formula>$D24="Done"</formula>
    </cfRule>
    <cfRule type="expression" dxfId="8" priority="6" stopIfTrue="1">
      <formula>$D24="Ongoing"</formula>
    </cfRule>
  </conditionalFormatting>
  <dataValidations count="1">
    <dataValidation type="list" allowBlank="1" showInputMessage="1" sqref="D3:D8 D15:D56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1" stopIfTrue="1" id="{125A49D0-0DE5-46E3-A187-F5EE5FDD7CF3}">
            <xm:f>'Sp2'!$D22="Done"</xm:f>
            <x14:dxf>
              <fill>
                <patternFill>
                  <bgColor indexed="42"/>
                </patternFill>
              </fill>
            </x14:dxf>
          </x14:cfRule>
          <x14:cfRule type="expression" priority="132" stopIfTrue="1" id="{FD75FEEC-6210-4C25-84A3-95FC10E23180}">
            <xm:f>'Sp2'!$D22="Ongoing"</xm:f>
            <x14:dxf>
              <fill>
                <patternFill>
                  <bgColor indexed="43"/>
                </patternFill>
              </fill>
            </x14:dxf>
          </x14:cfRule>
          <xm:sqref>A19:AD20</xm:sqref>
        </x14:conditionalFormatting>
        <x14:conditionalFormatting xmlns:xm="http://schemas.microsoft.com/office/excel/2006/main">
          <x14:cfRule type="expression" priority="135" stopIfTrue="1" id="{125A49D0-0DE5-46E3-A187-F5EE5FDD7CF3}">
            <xm:f>'Sp2'!$D22="Done"</xm:f>
            <x14:dxf>
              <fill>
                <patternFill>
                  <bgColor indexed="42"/>
                </patternFill>
              </fill>
            </x14:dxf>
          </x14:cfRule>
          <x14:cfRule type="expression" priority="136" stopIfTrue="1" id="{FD75FEEC-6210-4C25-84A3-95FC10E23180}">
            <xm:f>'Sp2'!$D22="Ongoing"</xm:f>
            <x14:dxf>
              <fill>
                <patternFill>
                  <bgColor indexed="43"/>
                </patternFill>
              </fill>
            </x14:dxf>
          </x14:cfRule>
          <xm:sqref>A18:AD18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Comeau, Gael</cp:lastModifiedBy>
  <cp:revision>1</cp:revision>
  <dcterms:created xsi:type="dcterms:W3CDTF">1998-06-05T11:20:44Z</dcterms:created>
  <dcterms:modified xsi:type="dcterms:W3CDTF">2020-03-09T12:52:46Z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