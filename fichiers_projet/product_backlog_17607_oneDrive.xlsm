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firstSheet="1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'Sp2'!$A$14:$AD$104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'Sp2'!$D$14:$D$99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'Sp2'!$B$14:$B$94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105" i="22"/>
  <c r="F61" i="22"/>
  <c r="F59" i="22"/>
  <c r="G59" i="22" s="1"/>
  <c r="F58" i="22"/>
  <c r="F57" i="22"/>
  <c r="F56" i="22"/>
  <c r="D56" i="22"/>
  <c r="F45" i="22"/>
  <c r="F64" i="22"/>
  <c r="F63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I11" i="23" l="1"/>
  <c r="F10" i="19"/>
  <c r="G10" i="19"/>
  <c r="E10" i="22"/>
  <c r="F11" i="22" s="1"/>
  <c r="F10" i="22"/>
  <c r="I14" i="22"/>
  <c r="H61" i="22"/>
  <c r="H59" i="22"/>
  <c r="G61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I59" i="22" l="1"/>
  <c r="M37" i="20"/>
  <c r="G11" i="22"/>
  <c r="I11" i="22"/>
  <c r="H11" i="22"/>
  <c r="J14" i="22"/>
  <c r="I61" i="22"/>
  <c r="H10" i="22"/>
  <c r="G10" i="22"/>
  <c r="F13" i="16"/>
  <c r="H12" i="16" s="1"/>
  <c r="M38" i="20"/>
  <c r="L14" i="19"/>
  <c r="K37" i="19"/>
  <c r="K36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59" i="22" l="1"/>
  <c r="J61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7" i="19"/>
  <c r="L36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61" i="22"/>
  <c r="K59" i="22"/>
  <c r="K10" i="22" s="1"/>
  <c r="L10" i="19"/>
  <c r="M11" i="19"/>
  <c r="N14" i="19"/>
  <c r="M37" i="19"/>
  <c r="M36" i="19"/>
  <c r="M10" i="19" s="1"/>
  <c r="K59" i="24"/>
  <c r="L14" i="24"/>
  <c r="K11" i="24"/>
  <c r="K58" i="24"/>
  <c r="L11" i="22" l="1"/>
  <c r="L61" i="22"/>
  <c r="L10" i="22" s="1"/>
  <c r="M14" i="22"/>
  <c r="N37" i="19"/>
  <c r="O14" i="19"/>
  <c r="N36" i="19"/>
  <c r="N11" i="19"/>
  <c r="M14" i="24"/>
  <c r="L11" i="24"/>
  <c r="L58" i="24"/>
  <c r="L59" i="24"/>
  <c r="M59" i="22" l="1"/>
  <c r="M61" i="22"/>
  <c r="M11" i="22"/>
  <c r="N14" i="22"/>
  <c r="N10" i="19"/>
  <c r="P14" i="19"/>
  <c r="O37" i="19"/>
  <c r="O36" i="19"/>
  <c r="O11" i="19"/>
  <c r="M58" i="24"/>
  <c r="M59" i="24"/>
  <c r="M11" i="24"/>
  <c r="N14" i="24"/>
  <c r="M10" i="22" l="1"/>
  <c r="O10" i="19"/>
  <c r="N59" i="22"/>
  <c r="N61" i="22"/>
  <c r="O14" i="22"/>
  <c r="N11" i="22"/>
  <c r="P36" i="19"/>
  <c r="P37" i="19"/>
  <c r="P11" i="19"/>
  <c r="Q14" i="19"/>
  <c r="N59" i="24"/>
  <c r="O14" i="24"/>
  <c r="N11" i="24"/>
  <c r="N58" i="24"/>
  <c r="N10" i="22" l="1"/>
  <c r="P14" i="22"/>
  <c r="O59" i="22"/>
  <c r="O10" i="22" s="1"/>
  <c r="O11" i="22"/>
  <c r="O61" i="22"/>
  <c r="Q11" i="19"/>
  <c r="Q37" i="19"/>
  <c r="Q36" i="19"/>
  <c r="R14" i="19"/>
  <c r="P10" i="19"/>
  <c r="O59" i="24"/>
  <c r="P14" i="24"/>
  <c r="O11" i="24"/>
  <c r="O58" i="24"/>
  <c r="P61" i="22" l="1"/>
  <c r="Q14" i="22"/>
  <c r="P11" i="22"/>
  <c r="P59" i="22"/>
  <c r="Q10" i="19"/>
  <c r="S14" i="19"/>
  <c r="R37" i="19"/>
  <c r="R11" i="19"/>
  <c r="R36" i="19"/>
  <c r="Q14" i="24"/>
  <c r="P11" i="24"/>
  <c r="P58" i="24"/>
  <c r="P59" i="24"/>
  <c r="P10" i="22" l="1"/>
  <c r="R14" i="22"/>
  <c r="Q59" i="22"/>
  <c r="Q61" i="22"/>
  <c r="Q11" i="22"/>
  <c r="R10" i="19"/>
  <c r="S36" i="19"/>
  <c r="S11" i="19"/>
  <c r="S37" i="19"/>
  <c r="T14" i="19"/>
  <c r="Q58" i="24"/>
  <c r="Q59" i="24"/>
  <c r="R14" i="24"/>
  <c r="Q11" i="24"/>
  <c r="Q10" i="22" l="1"/>
  <c r="R11" i="22"/>
  <c r="S14" i="22"/>
  <c r="R61" i="22"/>
  <c r="R59" i="22"/>
  <c r="T37" i="19"/>
  <c r="T11" i="19"/>
  <c r="T36" i="19"/>
  <c r="U14" i="19"/>
  <c r="S10" i="19"/>
  <c r="R59" i="24"/>
  <c r="S14" i="24"/>
  <c r="R11" i="24"/>
  <c r="R58" i="24"/>
  <c r="R10" i="22" l="1"/>
  <c r="S61" i="22"/>
  <c r="T14" i="22"/>
  <c r="S59" i="22"/>
  <c r="S10" i="22" s="1"/>
  <c r="S11" i="22"/>
  <c r="U11" i="19"/>
  <c r="U36" i="19"/>
  <c r="U37" i="19"/>
  <c r="V14" i="19"/>
  <c r="T10" i="19"/>
  <c r="S59" i="24"/>
  <c r="T14" i="24"/>
  <c r="S11" i="24"/>
  <c r="S58" i="24"/>
  <c r="U10" i="19" l="1"/>
  <c r="T59" i="22"/>
  <c r="T11" i="22"/>
  <c r="U14" i="22"/>
  <c r="T61" i="22"/>
  <c r="V36" i="19"/>
  <c r="V11" i="19"/>
  <c r="V37" i="19"/>
  <c r="V10" i="19" s="1"/>
  <c r="W14" i="19"/>
  <c r="U14" i="24"/>
  <c r="T11" i="24"/>
  <c r="T58" i="24"/>
  <c r="T59" i="24"/>
  <c r="T10" i="22" l="1"/>
  <c r="U61" i="22"/>
  <c r="U11" i="22"/>
  <c r="U59" i="22"/>
  <c r="U10" i="22" s="1"/>
  <c r="V14" i="22"/>
  <c r="W36" i="19"/>
  <c r="W11" i="19"/>
  <c r="W37" i="19"/>
  <c r="W10" i="19" s="1"/>
  <c r="X14" i="19"/>
  <c r="U58" i="24"/>
  <c r="U59" i="24"/>
  <c r="V14" i="24"/>
  <c r="U11" i="24"/>
  <c r="W14" i="22" l="1"/>
  <c r="V11" i="22"/>
  <c r="V59" i="22"/>
  <c r="V61" i="22"/>
  <c r="X11" i="19"/>
  <c r="X36" i="19"/>
  <c r="X37" i="19"/>
  <c r="X10" i="19" s="1"/>
  <c r="Y14" i="19"/>
  <c r="V59" i="24"/>
  <c r="W14" i="24"/>
  <c r="V11" i="24"/>
  <c r="V58" i="24"/>
  <c r="V10" i="22" l="1"/>
  <c r="W11" i="22"/>
  <c r="W61" i="22"/>
  <c r="W59" i="22"/>
  <c r="W10" i="22" s="1"/>
  <c r="X14" i="22"/>
  <c r="Y11" i="19"/>
  <c r="Z14" i="19"/>
  <c r="Y36" i="19"/>
  <c r="Y37" i="19"/>
  <c r="W59" i="24"/>
  <c r="X14" i="24"/>
  <c r="W11" i="24"/>
  <c r="W58" i="24"/>
  <c r="Y14" i="22" l="1"/>
  <c r="X61" i="22"/>
  <c r="X59" i="22"/>
  <c r="X10" i="22" s="1"/>
  <c r="X11" i="22"/>
  <c r="Y10" i="19"/>
  <c r="Z36" i="19"/>
  <c r="Z37" i="19"/>
  <c r="AA14" i="19"/>
  <c r="Z11" i="19"/>
  <c r="Y14" i="24"/>
  <c r="X11" i="24"/>
  <c r="X58" i="24"/>
  <c r="X59" i="24"/>
  <c r="Y11" i="22" l="1"/>
  <c r="Y61" i="22"/>
  <c r="Y59" i="22"/>
  <c r="Y10" i="22" s="1"/>
  <c r="Z14" i="22"/>
  <c r="AA37" i="19"/>
  <c r="AA36" i="19"/>
  <c r="AB14" i="19"/>
  <c r="AA11" i="19"/>
  <c r="Z10" i="19"/>
  <c r="Y58" i="24"/>
  <c r="Y59" i="24"/>
  <c r="Z14" i="24"/>
  <c r="Y11" i="24"/>
  <c r="Z11" i="22" l="1"/>
  <c r="Z59" i="22"/>
  <c r="Z61" i="22"/>
  <c r="AA14" i="22"/>
  <c r="AB11" i="19"/>
  <c r="AB36" i="19"/>
  <c r="AB37" i="19"/>
  <c r="AC14" i="19"/>
  <c r="AA10" i="19"/>
  <c r="Z59" i="24"/>
  <c r="AA14" i="24"/>
  <c r="Z11" i="24"/>
  <c r="Z58" i="24"/>
  <c r="Z10" i="22" l="1"/>
  <c r="AB14" i="22"/>
  <c r="AA11" i="22"/>
  <c r="AA59" i="22"/>
  <c r="AA10" i="22" s="1"/>
  <c r="AA61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C14" i="22" l="1"/>
  <c r="AB59" i="22"/>
  <c r="AB10" i="22" s="1"/>
  <c r="AB11" i="22"/>
  <c r="AB61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C20" i="22" l="1"/>
  <c r="AC25" i="22"/>
  <c r="AC19" i="22"/>
  <c r="AC24" i="22"/>
  <c r="AC23" i="22"/>
  <c r="AC65" i="22"/>
  <c r="AC94" i="22"/>
  <c r="AC56" i="22"/>
  <c r="AC11" i="22"/>
  <c r="AC18" i="22"/>
  <c r="AC83" i="22"/>
  <c r="AC89" i="22"/>
  <c r="AC67" i="22"/>
  <c r="AC59" i="22"/>
  <c r="AC95" i="22"/>
  <c r="AC96" i="22"/>
  <c r="AC15" i="22"/>
  <c r="AC21" i="22"/>
  <c r="AC58" i="22"/>
  <c r="AC91" i="22"/>
  <c r="AC90" i="22"/>
  <c r="AC92" i="22"/>
  <c r="AC45" i="22"/>
  <c r="AC61" i="22"/>
  <c r="AC16" i="22"/>
  <c r="AC78" i="22"/>
  <c r="AC43" i="22"/>
  <c r="AC86" i="22"/>
  <c r="AC17" i="22"/>
  <c r="AC84" i="22"/>
  <c r="AC87" i="22"/>
  <c r="AC66" i="22"/>
  <c r="AC99" i="22"/>
  <c r="AC85" i="22"/>
  <c r="AC44" i="22"/>
  <c r="AC98" i="22"/>
  <c r="AC64" i="22"/>
  <c r="AC93" i="22"/>
  <c r="AD14" i="22"/>
  <c r="AC42" i="22"/>
  <c r="AC27" i="22"/>
  <c r="AC97" i="22"/>
  <c r="AC100" i="22"/>
  <c r="AC22" i="22"/>
  <c r="AC57" i="22"/>
  <c r="AC88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20" i="22" l="1"/>
  <c r="AD25" i="22"/>
  <c r="AD19" i="22"/>
  <c r="AD24" i="22"/>
  <c r="AD23" i="22"/>
  <c r="AC10" i="22"/>
  <c r="AD99" i="22"/>
  <c r="AD43" i="22"/>
  <c r="AD42" i="22"/>
  <c r="AD22" i="22"/>
  <c r="AD83" i="22"/>
  <c r="AD92" i="22"/>
  <c r="AD27" i="22"/>
  <c r="AD15" i="22"/>
  <c r="AD98" i="22"/>
  <c r="AD16" i="22"/>
  <c r="AD90" i="22"/>
  <c r="AD61" i="22"/>
  <c r="AD45" i="22"/>
  <c r="AD86" i="22"/>
  <c r="AD95" i="22"/>
  <c r="AD93" i="22"/>
  <c r="AD21" i="22"/>
  <c r="AD85" i="22"/>
  <c r="AD94" i="22"/>
  <c r="AD91" i="22"/>
  <c r="AD89" i="22"/>
  <c r="AD97" i="22"/>
  <c r="AD66" i="22"/>
  <c r="AD58" i="22"/>
  <c r="AD57" i="22"/>
  <c r="AD88" i="22"/>
  <c r="AD67" i="22"/>
  <c r="AD18" i="22"/>
  <c r="AD56" i="22"/>
  <c r="AD78" i="22"/>
  <c r="AD65" i="22"/>
  <c r="AD100" i="22"/>
  <c r="AD64" i="22"/>
  <c r="AD59" i="22"/>
  <c r="AD84" i="22"/>
  <c r="AD87" i="22"/>
  <c r="AD44" i="22"/>
  <c r="AD17" i="22"/>
  <c r="AD11" i="22"/>
  <c r="AD96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<sst xmlns="http://schemas.openxmlformats.org/spreadsheetml/2006/main" count="433" uniqueCount="198">
  <si>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</si>
  <si>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</si>
  <si>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</si>
  <si>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</si>
  <si>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</si>
  <si>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</si>
  <si>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</si>
  <si>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</si>
  <si>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</si>
  <si>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</si>
  <si>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</si>
  <si>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</si>
  <si>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</si>
  <si>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</si>
  <si>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</si>
  <si>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</si>
  <si>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</si>
  <si>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</si>
  <si>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</si>
  <si>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</si>
  <si>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</si>
  <si>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</si>
  <si>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</si>
  <si>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</si>
  <si>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</si>
  <si>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</si>
  <si>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</si>
  <si>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</si>
  <si>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</si>
  <si>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</si>
  <si>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</si>
  <si>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</si>
  <si>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</si>
  <si>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</si>
  <si>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</si>
  <si>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</si>
  <si>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</si>
  <si>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</si>
  <si>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</si>
  <si>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</si>
  <si>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</si>
  <si>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</si>
  <si>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</si>
  <si>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</si>
  <si>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</si>
  <si>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</si>
  <si>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</si>
  <si>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</si>
  <si>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</si>
  <si>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</si>
  <si>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</si>
  <si>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</si>
  <si>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</si>
  <si>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</si>
  <si>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</si>
  <si>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</si>
  <si>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</si>
  <si>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</si>
  <si>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</si>
  <si>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</si>
  <si>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</si>
  <si>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</si>
  <si>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</si>
  <si>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</si>
  <si>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</si>
  <si>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</si>
  <si>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</si>
  <si>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</si>
  <si>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</si>
  <si>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</si>
  <si>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</si>
  <si>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</si>
  <si>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</si>
  <si>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</si>
  <si>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</si>
  <si>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</si>
  <si>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</si>
  <si>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</si>
  <si>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</si>
  <si>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</si>
  <si>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</si>
  <si>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</si>
  <si>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</si>
  <si>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</si>
  <si>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</si>
  <si>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</si>
  <si>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</si>
  <si>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</si>
  <si>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</si>
  <si>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</si>
  <si>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</si>
  <si>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</si>
  <si>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</si>
  <si>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</si>
  <si>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</si>
  <si>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</si>
  <si>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</si>
  <si>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</si>
  <si>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</si>
  <si>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</si>
  <si>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</si>
  <si>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</si>
  <si>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</si>
  <si>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</si>
  <si>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</si>
  <si>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</si>
  <si>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</si>
  <si>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</si>
  <si>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</si>
  <si>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</si>
  <si>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</si>
  <si>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</si>
  <si>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</si>
  <si>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</si>
  <si>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</si>
  <si>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</si>
  <si>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</si>
  <si>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</si>
  <si>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</si>
  <si>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</si>
  <si>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</si>
  <si>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</si>
  <si>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</si>
  <si>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</si>
  <si>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</si>
  <si>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</si>
  <si>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</si>
  <si>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</si>
  <si>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</si>
  <si>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</si>
  <si>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</si>
  <si>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</si>
  <si>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</si>
  <si>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</si>
  <si>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</si>
  <si>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</si>
  <si>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</si>
  <si>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</si>
  <si>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</si>
  <si>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</si>
  <si>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</si>
  <si>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</si>
  <si>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</si>
  <si>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</si>
  <si>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</si>
  <si>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</si>
  <si>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</si>
  <si>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</si>
  <si>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</si>
  <si>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</si>
  <si>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faire l'ajout de photo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</si>
  <si>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</si>
  <si>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</si>
  <si>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</si>
  <si>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</si>
  <si>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</si>
  <si>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</si>
  <si>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</si>
  <si>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</si>
  <si>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</si>
  <si>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</si>
  <si>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</si>
  <si>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</si>
  <si>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</si>
  <si>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</si>
  <si>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</si>
  <si>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</si>
  <si>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</si>
  <si>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</si>
  <si>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</si>
  <si>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</si>
  <si>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</si>
  <si>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</si>
  <si>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</si>
  <si>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</si>
  <si>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</si>
  <si>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</si>
  <si>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</si>
  <si>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</si>
  <si>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</si>
  <si>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</si>
  <si>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</si>
  <si>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</si>
  <si>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</si>
  <si>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</si>
  <si>
    <t>les liens des menus sont actifs</t>
  </si>
  <si>
    <t>mettre les filtres opérationnels</t>
  </si>
  <si>
    <t>refaire les menus dynamique</t>
  </si>
  <si>
    <t xml:space="preserve">   fonction modifier une annonce</t>
  </si>
  <si>
    <t>page profil client</t>
  </si>
  <si>
    <t xml:space="preserve">   faire le controlleur profil</t>
  </si>
  <si>
    <t xml:space="preserve">   html profil</t>
  </si>
  <si>
    <t xml:space="preserve">   modif du profil</t>
  </si>
  <si>
    <t>fournisseur : page accueil = mes annonces</t>
  </si>
  <si>
    <t xml:space="preserve">   faire page mes annonces</t>
  </si>
  <si>
    <t xml:space="preserve">   activer liens mes annonces</t>
  </si>
  <si>
    <t xml:space="preserve">   activer liens mes messages</t>
  </si>
  <si>
    <t xml:space="preserve">   ajouter liens créer annonces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</si>
</sst>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8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2">
    <cellStyle name="Normal" xfId="0" builtinId="0"/>
    <cellStyle name="Satisfaisant" xfId="1" builtinId="26"/>
  </cellStyles>
  <dxfs count="61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84.5</c:v>
                </c:pt>
                <c:pt idx="1">
                  <c:v>75.5</c:v>
                </c:pt>
                <c:pt idx="2">
                  <c:v>70</c:v>
                </c:pt>
                <c:pt idx="3">
                  <c:v>54.5</c:v>
                </c:pt>
                <c:pt idx="4">
                  <c:v>47</c:v>
                </c:pt>
                <c:pt idx="5">
                  <c:v>43.5</c:v>
                </c:pt>
                <c:pt idx="6">
                  <c:v>28</c:v>
                </c:pt>
                <c:pt idx="7">
                  <c:v>20</c:v>
                </c:pt>
                <c:pt idx="8">
                  <c:v>16.5</c:v>
                </c:pt>
                <c:pt idx="9">
                  <c:v>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91.5</c:v>
                </c:pt>
                <c:pt idx="1">
                  <c:v>82.35</c:v>
                </c:pt>
                <c:pt idx="2">
                  <c:v>73.2</c:v>
                </c:pt>
                <c:pt idx="3">
                  <c:v>64.05</c:v>
                </c:pt>
                <c:pt idx="4">
                  <c:v>54.9</c:v>
                </c:pt>
                <c:pt idx="5">
                  <c:v>45.75</c:v>
                </c:pt>
                <c:pt idx="6">
                  <c:v>36.599999999999994</c:v>
                </c:pt>
                <c:pt idx="7">
                  <c:v>27.450000000000003</c:v>
                </c:pt>
                <c:pt idx="8">
                  <c:v>18.299999999999997</c:v>
                </c:pt>
                <c:pt idx="9">
                  <c:v>9.1499999999999915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72.55</c:v>
                </c:pt>
                <c:pt idx="1">
                  <c:v>65.699999999999989</c:v>
                </c:pt>
                <c:pt idx="2">
                  <c:v>58.849999999999994</c:v>
                </c:pt>
                <c:pt idx="3">
                  <c:v>52</c:v>
                </c:pt>
                <c:pt idx="4">
                  <c:v>45.15</c:v>
                </c:pt>
                <c:pt idx="5">
                  <c:v>38.299999999999997</c:v>
                </c:pt>
                <c:pt idx="6">
                  <c:v>31.450000000000003</c:v>
                </c:pt>
                <c:pt idx="7">
                  <c:v>24.6</c:v>
                </c:pt>
                <c:pt idx="8">
                  <c:v>17.75</c:v>
                </c:pt>
                <c:pt idx="9">
                  <c:v>10.900000000000006</c:v>
                </c:pt>
                <c:pt idx="10">
                  <c:v>4.0500000000000114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0" priority="1" stopIfTrue="1">
      <formula>$F4="Planned"</formula>
    </cfRule>
    <cfRule type="expression" dxfId="59" priority="2" stopIfTrue="1">
      <formula>$F4="Ongoing"</formula>
    </cfRule>
  </conditionalFormatting>
  <conditionalFormatting sqref="F4:F10 F16:F30">
    <cfRule type="expression" dxfId="58" priority="3" stopIfTrue="1">
      <formula>$F4="Planned"</formula>
    </cfRule>
    <cfRule type="expression" dxfId="57" priority="4" stopIfTrue="1">
      <formula>$F4="Ongoing"</formula>
    </cfRule>
    <cfRule type="cellIs" dxfId="56" priority="5" stopIfTrue="1" operator="equal">
      <formula>"Unplanned"</formula>
    </cfRule>
  </conditionalFormatting>
  <conditionalFormatting sqref="E4 G16:H30 A16:E30">
    <cfRule type="expression" dxfId="55" priority="6" stopIfTrue="1">
      <formula>OR($F4="Planned",$F4="Unplanned")</formula>
    </cfRule>
    <cfRule type="expression" dxfId="54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8" activePane="bottomLeft" state="frozen"/>
      <selection pane="bottomLeft" activeCell="G8" sqref="G8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/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3" priority="117" stopIfTrue="1">
      <formula>$C4="Done"</formula>
    </cfRule>
    <cfRule type="expression" dxfId="52" priority="118" stopIfTrue="1">
      <formula>$C4="Ongoing"</formula>
    </cfRule>
    <cfRule type="expression" dxfId="51" priority="119" stopIfTrue="1">
      <formula>$C4="Removed"</formula>
    </cfRule>
  </conditionalFormatting>
  <conditionalFormatting sqref="G54">
    <cfRule type="expression" dxfId="50" priority="120" stopIfTrue="1">
      <formula>$C44="Done"</formula>
    </cfRule>
    <cfRule type="expression" dxfId="49" priority="121" stopIfTrue="1">
      <formula>$C44="Ongoing"</formula>
    </cfRule>
    <cfRule type="expression" dxfId="48" priority="122" stopIfTrue="1">
      <formula>$C44="Removed"</formula>
    </cfRule>
  </conditionalFormatting>
  <conditionalFormatting sqref="G43:G44">
    <cfRule type="expression" dxfId="47" priority="123" stopIfTrue="1">
      <formula>#REF!="Done"</formula>
    </cfRule>
    <cfRule type="expression" dxfId="46" priority="124" stopIfTrue="1">
      <formula>#REF!="Ongoing"</formula>
    </cfRule>
    <cfRule type="expression" dxfId="45" priority="125" stopIfTrue="1">
      <formula>#REF!="Removed"</formula>
    </cfRule>
  </conditionalFormatting>
  <conditionalFormatting sqref="G23">
    <cfRule type="expression" dxfId="44" priority="126" stopIfTrue="1">
      <formula>#REF!="Done"</formula>
    </cfRule>
    <cfRule type="expression" dxfId="43" priority="127" stopIfTrue="1">
      <formula>#REF!="Ongoing"</formula>
    </cfRule>
    <cfRule type="expression" dxfId="42" priority="128" stopIfTrue="1">
      <formula>#REF!="Removed"</formula>
    </cfRule>
  </conditionalFormatting>
  <conditionalFormatting sqref="H4">
    <cfRule type="expression" dxfId="41" priority="114" stopIfTrue="1">
      <formula>$C4="Done"</formula>
    </cfRule>
    <cfRule type="expression" dxfId="40" priority="115" stopIfTrue="1">
      <formula>$C4="Ongoing"</formula>
    </cfRule>
    <cfRule type="expression" dxfId="39" priority="116" stopIfTrue="1">
      <formula>$C4="Removed"</formula>
    </cfRule>
  </conditionalFormatting>
  <conditionalFormatting sqref="A5:A12">
    <cfRule type="expression" dxfId="38" priority="16" stopIfTrue="1">
      <formula>$D5="Done"</formula>
    </cfRule>
    <cfRule type="expression" dxfId="37" priority="17" stopIfTrue="1">
      <formula>$D5="Ongoing"</formula>
    </cfRule>
  </conditionalFormatting>
  <conditionalFormatting sqref="G5">
    <cfRule type="expression" dxfId="36" priority="13" stopIfTrue="1">
      <formula>$C5="Done"</formula>
    </cfRule>
    <cfRule type="expression" dxfId="35" priority="14" stopIfTrue="1">
      <formula>$C5="Ongoing"</formula>
    </cfRule>
    <cfRule type="expression" dxfId="34" priority="15" stopIfTrue="1">
      <formula>$C5="Removed"</formula>
    </cfRule>
  </conditionalFormatting>
  <conditionalFormatting sqref="B5">
    <cfRule type="expression" dxfId="33" priority="7" stopIfTrue="1">
      <formula>$C5="Done"</formula>
    </cfRule>
    <cfRule type="expression" dxfId="32" priority="8" stopIfTrue="1">
      <formula>$C5="Ongoing"</formula>
    </cfRule>
    <cfRule type="expression" dxfId="31" priority="9" stopIfTrue="1">
      <formula>$C5="Removed"</formula>
    </cfRule>
  </conditionalFormatting>
  <conditionalFormatting sqref="D5:F5">
    <cfRule type="expression" dxfId="30" priority="4" stopIfTrue="1">
      <formula>$C5="Done"</formula>
    </cfRule>
    <cfRule type="expression" dxfId="29" priority="5" stopIfTrue="1">
      <formula>$C5="Ongoing"</formula>
    </cfRule>
    <cfRule type="expression" dxfId="28" priority="6" stopIfTrue="1">
      <formula>$C5="Removed"</formula>
    </cfRule>
  </conditionalFormatting>
  <conditionalFormatting sqref="H5">
    <cfRule type="expression" dxfId="27" priority="1" stopIfTrue="1">
      <formula>$C5="Done"</formula>
    </cfRule>
    <cfRule type="expression" dxfId="26" priority="2" stopIfTrue="1">
      <formula>$C5="Ongoing"</formula>
    </cfRule>
    <cfRule type="expression" dxfId="25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6">
        <f>D$4</f>
        <v>3</v>
      </c>
      <c r="B8" s="86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6">
        <f>D$4</f>
        <v>3</v>
      </c>
      <c r="B18" s="86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8" t="s">
        <v>68</v>
      </c>
      <c r="G26" s="88"/>
      <c r="H26" s="88"/>
      <c r="I26" s="88"/>
      <c r="J26" s="88"/>
      <c r="K26" s="88"/>
      <c r="L26" s="88"/>
      <c r="M26" s="88"/>
      <c r="N26" s="88"/>
      <c r="O26" s="88" t="s">
        <v>82</v>
      </c>
      <c r="P26" s="88"/>
      <c r="Q26" s="88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7" t="s">
        <v>88</v>
      </c>
      <c r="H27" s="87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05"/>
  <sheetViews>
    <sheetView tabSelected="1" zoomScale="140" zoomScaleNormal="140" workbookViewId="0">
      <pane ySplit="14" topLeftCell="A66" activePane="bottomLeft" state="frozen"/>
      <selection pane="bottomLeft" activeCell="L83" sqref="L83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91.5</v>
      </c>
      <c r="F10" s="17">
        <f ca="1">IF(AND(SUM(OFFSET(F14,1,0,TaskRows,1))=0),0,SUM(OFFSET(F14,1,0,TaskRows,1)))</f>
        <v>84.5</v>
      </c>
      <c r="G10" s="17">
        <f t="shared" ref="G10:AD10" ca="1" si="0">IF(AND(SUM(OFFSET(G14,1,0,TaskRows,1))=0),"",SUM(OFFSET(G14,1,0,TaskRows,1)))</f>
        <v>75.5</v>
      </c>
      <c r="H10" s="17">
        <f t="shared" ca="1" si="0"/>
        <v>70</v>
      </c>
      <c r="I10" s="17">
        <f t="shared" ca="1" si="0"/>
        <v>54.5</v>
      </c>
      <c r="J10" s="17">
        <f t="shared" ca="1" si="0"/>
        <v>47</v>
      </c>
      <c r="K10" s="17">
        <f t="shared" ca="1" si="0"/>
        <v>43.5</v>
      </c>
      <c r="L10" s="17">
        <f t="shared" ca="1" si="0"/>
        <v>28</v>
      </c>
      <c r="M10" s="17">
        <f t="shared" ca="1" si="0"/>
        <v>20</v>
      </c>
      <c r="N10" s="17">
        <f t="shared" ca="1" si="0"/>
        <v>16.5</v>
      </c>
      <c r="O10" s="17">
        <f t="shared" ca="1" si="0"/>
        <v>15</v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IF(COUNTA(A15:A283)=0,1,COUNTA(A15:A283))</f>
        <v>58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91.5</v>
      </c>
      <c r="G11" s="2">
        <f t="shared" ref="G11:AD11" ca="1" si="1">IF(G14="","",TotalEffort-TotalEffort/(ImplementationDays)*(G14-1))</f>
        <v>82.35</v>
      </c>
      <c r="H11" s="2">
        <f t="shared" ca="1" si="1"/>
        <v>73.2</v>
      </c>
      <c r="I11" s="2">
        <f t="shared" ca="1" si="1"/>
        <v>64.05</v>
      </c>
      <c r="J11" s="2">
        <f t="shared" ca="1" si="1"/>
        <v>54.9</v>
      </c>
      <c r="K11" s="2">
        <f t="shared" ca="1" si="1"/>
        <v>45.75</v>
      </c>
      <c r="L11" s="2">
        <f t="shared" ca="1" si="1"/>
        <v>36.599999999999994</v>
      </c>
      <c r="M11" s="2">
        <f t="shared" ca="1" si="1"/>
        <v>27.450000000000003</v>
      </c>
      <c r="N11" s="2">
        <f t="shared" ca="1" si="1"/>
        <v>18.299999999999997</v>
      </c>
      <c r="O11" s="2">
        <f t="shared" ca="1" si="1"/>
        <v>9.1499999999999915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72.55</v>
      </c>
      <c r="G12" s="2">
        <f t="shared" ca="1" si="2"/>
        <v>65.699999999999989</v>
      </c>
      <c r="H12" s="2">
        <f t="shared" ca="1" si="2"/>
        <v>58.849999999999994</v>
      </c>
      <c r="I12" s="2">
        <f t="shared" ca="1" si="2"/>
        <v>52</v>
      </c>
      <c r="J12" s="2">
        <f t="shared" ca="1" si="2"/>
        <v>45.15</v>
      </c>
      <c r="K12" s="2">
        <f t="shared" ca="1" si="2"/>
        <v>38.299999999999997</v>
      </c>
      <c r="L12" s="2">
        <f t="shared" ca="1" si="2"/>
        <v>31.450000000000003</v>
      </c>
      <c r="M12" s="2">
        <f t="shared" ca="1" si="2"/>
        <v>24.6</v>
      </c>
      <c r="N12" s="2">
        <f t="shared" ca="1" si="2"/>
        <v>17.75</v>
      </c>
      <c r="O12" s="2">
        <f t="shared" ca="1" si="2"/>
        <v>10.900000000000006</v>
      </c>
      <c r="P12" s="2">
        <f t="shared" ca="1" si="2"/>
        <v>4.0500000000000114</v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24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L15" s="2">
        <v>0</v>
      </c>
      <c r="M15" s="2">
        <v>0</v>
      </c>
      <c r="N15" s="2">
        <v>0</v>
      </c>
      <c r="O15" s="2">
        <v>0</v>
      </c>
      <c r="AC15" s="2" t="str">
        <f t="shared" ref="AC15:AD61" si="4">IF(OR(AC$14="",$E15=""),"",AB15)</f>
        <v/>
      </c>
      <c r="AD15" s="2" t="str">
        <f t="shared" si="4"/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31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L16" s="2">
        <v>2</v>
      </c>
      <c r="M16" s="2">
        <v>1</v>
      </c>
      <c r="N16" s="2">
        <v>0.5</v>
      </c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24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L17" s="2">
        <v>0</v>
      </c>
      <c r="M17" s="2">
        <v>0</v>
      </c>
      <c r="N17" s="2">
        <v>0</v>
      </c>
      <c r="O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AC19" s="2" t="str">
        <f t="shared" si="4"/>
        <v/>
      </c>
      <c r="AD19" s="2" t="str">
        <f t="shared" si="4"/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34">
        <v>0</v>
      </c>
      <c r="O20" s="34">
        <v>0</v>
      </c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140</v>
      </c>
      <c r="B22" s="34">
        <v>3</v>
      </c>
      <c r="C22" t="s">
        <v>137</v>
      </c>
      <c r="D22" s="35"/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150</v>
      </c>
      <c r="B23" s="34">
        <v>3</v>
      </c>
      <c r="C23" t="s">
        <v>137</v>
      </c>
      <c r="D23" s="35" t="s">
        <v>39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151</v>
      </c>
      <c r="B24" s="34"/>
      <c r="C24" t="s">
        <v>137</v>
      </c>
      <c r="D24" s="35" t="s">
        <v>39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152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AC25" s="2" t="str">
        <f t="shared" si="4"/>
        <v/>
      </c>
      <c r="AD25" s="2" t="str">
        <f t="shared" si="4"/>
        <v/>
      </c>
    </row>
    <row r="26" spans="1:30" x14ac:dyDescent="0.2">
      <c r="A26" s="35"/>
      <c r="B26" s="34"/>
      <c r="D26" s="35"/>
      <c r="E26" s="34"/>
      <c r="F26" s="34"/>
      <c r="G26" s="34"/>
      <c r="H26" s="34"/>
      <c r="I26" s="34"/>
      <c r="J26" s="34"/>
    </row>
    <row r="27" spans="1:30" x14ac:dyDescent="0.2">
      <c r="A27" s="35" t="s">
        <v>142</v>
      </c>
      <c r="B27" s="34">
        <v>5</v>
      </c>
      <c r="D27" s="35"/>
      <c r="E27" s="34"/>
      <c r="F27" s="34"/>
      <c r="G27" s="34"/>
      <c r="H27" s="34"/>
      <c r="I27" s="34"/>
      <c r="J27" s="34"/>
      <c r="AC27" s="2" t="str">
        <f t="shared" si="4"/>
        <v/>
      </c>
      <c r="AD27" s="2" t="str">
        <f t="shared" si="4"/>
        <v/>
      </c>
    </row>
    <row r="28" spans="1:30" x14ac:dyDescent="0.2">
      <c r="A28" s="35" t="s">
        <v>153</v>
      </c>
      <c r="B28" s="34">
        <v>5</v>
      </c>
      <c r="C28" t="s">
        <v>154</v>
      </c>
      <c r="D28" s="35" t="s">
        <v>24</v>
      </c>
      <c r="E28" s="34">
        <v>5</v>
      </c>
      <c r="F28" s="34">
        <v>5</v>
      </c>
      <c r="G28" s="34">
        <v>3</v>
      </c>
      <c r="H28" s="34">
        <v>3</v>
      </c>
      <c r="I28" s="34">
        <v>2</v>
      </c>
      <c r="J28" s="34">
        <v>1</v>
      </c>
      <c r="K28" s="2">
        <v>0</v>
      </c>
    </row>
    <row r="29" spans="1:30" x14ac:dyDescent="0.2">
      <c r="A29" s="35" t="s">
        <v>155</v>
      </c>
      <c r="B29" s="34">
        <v>5</v>
      </c>
      <c r="C29" t="s">
        <v>132</v>
      </c>
      <c r="D29" s="35" t="s">
        <v>24</v>
      </c>
      <c r="E29" s="34">
        <v>5</v>
      </c>
      <c r="F29" s="34">
        <v>5</v>
      </c>
      <c r="G29" s="34">
        <v>5</v>
      </c>
      <c r="H29" s="34">
        <v>5</v>
      </c>
      <c r="I29" s="34">
        <v>5</v>
      </c>
      <c r="J29" s="34">
        <v>4</v>
      </c>
      <c r="K29" s="2">
        <v>3</v>
      </c>
      <c r="L29" s="2">
        <v>2</v>
      </c>
      <c r="M29" s="2">
        <v>0</v>
      </c>
      <c r="N29" s="2">
        <v>0</v>
      </c>
      <c r="O29" s="2">
        <v>0</v>
      </c>
    </row>
    <row r="30" spans="1:30" x14ac:dyDescent="0.2">
      <c r="A30" s="35" t="s">
        <v>180</v>
      </c>
      <c r="B30" s="34">
        <v>5</v>
      </c>
      <c r="C30" t="s">
        <v>125</v>
      </c>
      <c r="D30" s="35" t="s">
        <v>24</v>
      </c>
      <c r="E30" s="34">
        <v>3</v>
      </c>
      <c r="F30" s="34">
        <v>3</v>
      </c>
      <c r="G30" s="34">
        <v>1</v>
      </c>
      <c r="H30" s="34">
        <v>1</v>
      </c>
      <c r="I30" s="34">
        <v>1</v>
      </c>
      <c r="J30" s="34">
        <v>1</v>
      </c>
      <c r="K30" s="2">
        <v>1</v>
      </c>
      <c r="L30" s="2">
        <v>0</v>
      </c>
      <c r="M30" s="2">
        <v>0</v>
      </c>
      <c r="N30" s="2">
        <v>0</v>
      </c>
      <c r="O30" s="2">
        <v>0</v>
      </c>
    </row>
    <row r="31" spans="1:30" x14ac:dyDescent="0.2">
      <c r="A31" s="35" t="s">
        <v>156</v>
      </c>
      <c r="B31" s="34">
        <v>5</v>
      </c>
      <c r="C31" t="s">
        <v>125</v>
      </c>
      <c r="D31" s="35" t="s">
        <v>24</v>
      </c>
      <c r="E31" s="34">
        <v>1</v>
      </c>
      <c r="F31" s="34">
        <v>1</v>
      </c>
      <c r="G31" s="34">
        <v>0</v>
      </c>
      <c r="H31" s="34">
        <v>0</v>
      </c>
      <c r="I31" s="34">
        <v>0</v>
      </c>
      <c r="J31" s="34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30" x14ac:dyDescent="0.2">
      <c r="A32" s="35" t="s">
        <v>157</v>
      </c>
      <c r="B32" s="34">
        <v>6</v>
      </c>
      <c r="C32" t="s">
        <v>125</v>
      </c>
      <c r="D32" s="35" t="s">
        <v>31</v>
      </c>
      <c r="E32" s="34">
        <v>2</v>
      </c>
      <c r="F32" s="34">
        <v>2</v>
      </c>
      <c r="G32" s="34">
        <v>1</v>
      </c>
      <c r="H32" s="34">
        <v>1</v>
      </c>
      <c r="I32" s="34">
        <v>1</v>
      </c>
      <c r="J32" s="34">
        <v>1</v>
      </c>
      <c r="K32" s="2">
        <v>1</v>
      </c>
    </row>
    <row r="33" spans="1:30" x14ac:dyDescent="0.2">
      <c r="A33" s="35" t="s">
        <v>188</v>
      </c>
      <c r="B33" s="34">
        <v>5</v>
      </c>
      <c r="D33" s="35" t="s">
        <v>39</v>
      </c>
      <c r="E33" s="34"/>
      <c r="F33" s="34"/>
      <c r="G33" s="34"/>
      <c r="H33" s="34"/>
      <c r="I33" s="34"/>
      <c r="J33" s="34"/>
    </row>
    <row r="34" spans="1:3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30" x14ac:dyDescent="0.2">
      <c r="A35" s="35" t="s">
        <v>158</v>
      </c>
      <c r="B35" s="34">
        <v>6</v>
      </c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159</v>
      </c>
      <c r="B36" s="34">
        <v>6</v>
      </c>
      <c r="C36" t="s">
        <v>154</v>
      </c>
      <c r="D36" s="35" t="s">
        <v>31</v>
      </c>
      <c r="E36" s="34">
        <v>5</v>
      </c>
      <c r="F36" s="34">
        <v>5</v>
      </c>
      <c r="G36" s="34">
        <v>5</v>
      </c>
      <c r="H36" s="34">
        <v>5</v>
      </c>
      <c r="I36" s="34">
        <v>5</v>
      </c>
      <c r="J36" s="34">
        <v>5</v>
      </c>
      <c r="K36" s="2">
        <v>10</v>
      </c>
      <c r="L36" s="2">
        <v>6</v>
      </c>
      <c r="M36" s="2">
        <v>3</v>
      </c>
      <c r="N36" s="2">
        <v>3</v>
      </c>
      <c r="O36" s="2">
        <v>3</v>
      </c>
    </row>
    <row r="37" spans="1:30" x14ac:dyDescent="0.2">
      <c r="A37" s="35" t="s">
        <v>160</v>
      </c>
      <c r="B37" s="34">
        <v>6</v>
      </c>
      <c r="C37" t="s">
        <v>154</v>
      </c>
      <c r="D37" s="35" t="s">
        <v>31</v>
      </c>
      <c r="E37" s="34">
        <v>2</v>
      </c>
      <c r="F37" s="34">
        <v>2</v>
      </c>
      <c r="G37" s="34">
        <v>2</v>
      </c>
      <c r="H37" s="34">
        <v>2</v>
      </c>
      <c r="I37" s="34">
        <v>2</v>
      </c>
      <c r="J37" s="34">
        <v>2</v>
      </c>
      <c r="K37" s="2">
        <v>2</v>
      </c>
      <c r="L37" s="2">
        <v>2</v>
      </c>
      <c r="M37" s="2">
        <v>2</v>
      </c>
      <c r="N37" s="2">
        <v>2</v>
      </c>
      <c r="O37" s="2">
        <v>2</v>
      </c>
    </row>
    <row r="38" spans="1:30" x14ac:dyDescent="0.2">
      <c r="A38" s="35"/>
      <c r="B38" s="34"/>
      <c r="D38" s="35"/>
      <c r="E38" s="34"/>
      <c r="F38" s="34"/>
      <c r="G38" s="34"/>
      <c r="H38" s="34"/>
      <c r="I38" s="34"/>
      <c r="J38" s="34"/>
    </row>
    <row r="39" spans="1:30" x14ac:dyDescent="0.2">
      <c r="A39" s="35" t="s">
        <v>161</v>
      </c>
      <c r="B39" s="34">
        <v>5</v>
      </c>
      <c r="C39" t="s">
        <v>137</v>
      </c>
      <c r="D39" s="35" t="s">
        <v>24</v>
      </c>
      <c r="E39" s="34">
        <v>2</v>
      </c>
      <c r="F39" s="34">
        <v>2</v>
      </c>
      <c r="G39" s="34">
        <v>1</v>
      </c>
      <c r="H39" s="34">
        <v>0</v>
      </c>
      <c r="I39" s="34">
        <v>0</v>
      </c>
      <c r="J39" s="34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0" spans="1:30" x14ac:dyDescent="0.2">
      <c r="A40" s="35" t="s">
        <v>162</v>
      </c>
      <c r="B40" s="34">
        <v>5</v>
      </c>
      <c r="C40" t="s">
        <v>137</v>
      </c>
      <c r="D40" s="35" t="s">
        <v>147</v>
      </c>
      <c r="E40" s="34">
        <v>1</v>
      </c>
      <c r="F40" s="34">
        <v>1</v>
      </c>
      <c r="G40" s="34">
        <v>1</v>
      </c>
      <c r="H40" s="34">
        <v>0</v>
      </c>
      <c r="I40" s="34">
        <v>0</v>
      </c>
      <c r="J40" s="34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30" x14ac:dyDescent="0.2">
      <c r="A41" s="35" t="s">
        <v>163</v>
      </c>
      <c r="B41" s="34">
        <v>5</v>
      </c>
      <c r="C41" t="s">
        <v>137</v>
      </c>
      <c r="D41" s="35" t="s">
        <v>24</v>
      </c>
      <c r="E41" s="34">
        <v>1</v>
      </c>
      <c r="F41" s="34">
        <v>1</v>
      </c>
      <c r="G41" s="34">
        <v>0</v>
      </c>
      <c r="H41" s="34">
        <v>0</v>
      </c>
      <c r="I41" s="34">
        <v>0</v>
      </c>
      <c r="J41" s="34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30" x14ac:dyDescent="0.2">
      <c r="A42" s="35" t="s">
        <v>143</v>
      </c>
      <c r="B42" s="34">
        <v>5</v>
      </c>
      <c r="C42" t="s">
        <v>137</v>
      </c>
      <c r="D42" s="35" t="s">
        <v>24</v>
      </c>
      <c r="E42" s="34">
        <v>3</v>
      </c>
      <c r="F42" s="34">
        <v>3</v>
      </c>
      <c r="G42" s="34">
        <v>3</v>
      </c>
      <c r="H42" s="34">
        <v>2</v>
      </c>
      <c r="I42" s="34">
        <v>1</v>
      </c>
      <c r="J42" s="34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AC42" s="2" t="str">
        <f t="shared" si="4"/>
        <v/>
      </c>
      <c r="AD42" s="2" t="str">
        <f t="shared" si="4"/>
        <v/>
      </c>
    </row>
    <row r="43" spans="1:30" x14ac:dyDescent="0.2">
      <c r="A43" s="35" t="s">
        <v>144</v>
      </c>
      <c r="B43" s="34">
        <v>7</v>
      </c>
      <c r="C43" t="s">
        <v>125</v>
      </c>
      <c r="D43" s="35" t="s">
        <v>24</v>
      </c>
      <c r="E43" s="34">
        <v>1</v>
      </c>
      <c r="F43" s="34">
        <v>1</v>
      </c>
      <c r="G43" s="34">
        <v>1</v>
      </c>
      <c r="H43" s="34">
        <v>1</v>
      </c>
      <c r="I43" s="34">
        <v>0</v>
      </c>
      <c r="J43" s="34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AC43" s="2" t="str">
        <f t="shared" si="4"/>
        <v/>
      </c>
      <c r="AD43" s="2" t="str">
        <f t="shared" si="4"/>
        <v/>
      </c>
    </row>
    <row r="44" spans="1:30" x14ac:dyDescent="0.2">
      <c r="A44" s="35" t="s">
        <v>164</v>
      </c>
      <c r="B44" s="2">
        <v>7</v>
      </c>
      <c r="C44" t="s">
        <v>137</v>
      </c>
      <c r="D44" s="35" t="s">
        <v>24</v>
      </c>
      <c r="E44" s="2">
        <v>3</v>
      </c>
      <c r="F44" s="2">
        <v>3</v>
      </c>
      <c r="G44" s="2">
        <v>3</v>
      </c>
      <c r="H44" s="2">
        <v>2</v>
      </c>
      <c r="I44" s="2">
        <v>1</v>
      </c>
      <c r="J44" s="34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AC44" s="2" t="str">
        <f t="shared" si="4"/>
        <v/>
      </c>
      <c r="AD44" s="2" t="str">
        <f t="shared" si="4"/>
        <v/>
      </c>
    </row>
    <row r="45" spans="1:30" x14ac:dyDescent="0.2">
      <c r="A45" s="35" t="s">
        <v>165</v>
      </c>
      <c r="C45" t="s">
        <v>137</v>
      </c>
      <c r="D45" t="s">
        <v>31</v>
      </c>
      <c r="E45" s="2">
        <v>1</v>
      </c>
      <c r="F45" s="2">
        <f t="shared" ref="F45:F64" si="5">IF(OR(F$14="",$E45=""),"",E45)</f>
        <v>1</v>
      </c>
      <c r="G45" s="2">
        <v>1</v>
      </c>
      <c r="H45" s="2">
        <v>1</v>
      </c>
      <c r="I45" s="2">
        <v>1</v>
      </c>
      <c r="J45" s="2">
        <v>1</v>
      </c>
      <c r="K45" s="2">
        <v>1</v>
      </c>
      <c r="L45" s="2">
        <v>1</v>
      </c>
      <c r="M45" s="2">
        <v>1</v>
      </c>
      <c r="N45" s="2">
        <v>1</v>
      </c>
      <c r="O45" s="2">
        <v>1</v>
      </c>
      <c r="AC45" s="2" t="str">
        <f t="shared" si="4"/>
        <v/>
      </c>
      <c r="AD45" s="2" t="str">
        <f t="shared" si="4"/>
        <v/>
      </c>
    </row>
    <row r="46" spans="1:30" x14ac:dyDescent="0.2">
      <c r="A46" s="35"/>
    </row>
    <row r="47" spans="1:30" x14ac:dyDescent="0.2">
      <c r="A47" s="35" t="s">
        <v>166</v>
      </c>
      <c r="B47" s="2">
        <v>8</v>
      </c>
    </row>
    <row r="48" spans="1:30" x14ac:dyDescent="0.2">
      <c r="A48" s="35" t="s">
        <v>167</v>
      </c>
      <c r="B48" s="2">
        <v>8</v>
      </c>
      <c r="C48" t="s">
        <v>137</v>
      </c>
      <c r="D48" t="s">
        <v>24</v>
      </c>
      <c r="E48" s="2">
        <v>0.5</v>
      </c>
      <c r="F48" s="2">
        <v>0.5</v>
      </c>
      <c r="G48" s="2">
        <v>0.5</v>
      </c>
      <c r="H48" s="2">
        <v>0.5</v>
      </c>
      <c r="I48" s="2">
        <v>0.5</v>
      </c>
      <c r="J48" s="2">
        <v>0.5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</row>
    <row r="49" spans="1:30" x14ac:dyDescent="0.2">
      <c r="A49" s="35" t="s">
        <v>168</v>
      </c>
      <c r="B49" s="2">
        <v>8</v>
      </c>
      <c r="C49" t="s">
        <v>137</v>
      </c>
      <c r="D49" t="s">
        <v>24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169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2</v>
      </c>
      <c r="J50" s="2">
        <v>2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/>
    </row>
    <row r="52" spans="1:30" x14ac:dyDescent="0.2">
      <c r="A52" s="35" t="s">
        <v>170</v>
      </c>
      <c r="B52" s="85">
        <v>8</v>
      </c>
      <c r="C52" t="s">
        <v>137</v>
      </c>
      <c r="D52" t="s">
        <v>24</v>
      </c>
      <c r="E52" s="2">
        <v>4</v>
      </c>
      <c r="F52" s="2">
        <v>4</v>
      </c>
      <c r="G52" s="2">
        <v>4</v>
      </c>
      <c r="H52" s="2">
        <v>4</v>
      </c>
      <c r="I52" s="2">
        <v>3</v>
      </c>
      <c r="J52" s="2">
        <v>1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</row>
    <row r="53" spans="1:30" x14ac:dyDescent="0.2">
      <c r="A53" s="35" t="s">
        <v>171</v>
      </c>
      <c r="B53" s="2">
        <v>8</v>
      </c>
      <c r="C53" t="s">
        <v>137</v>
      </c>
      <c r="D53" t="s">
        <v>24</v>
      </c>
      <c r="E53" s="2">
        <v>2</v>
      </c>
      <c r="F53" s="2">
        <v>2</v>
      </c>
      <c r="G53" s="2">
        <v>2</v>
      </c>
      <c r="H53" s="2">
        <v>2</v>
      </c>
      <c r="I53" s="2">
        <v>1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30" x14ac:dyDescent="0.2">
      <c r="A54" s="35" t="s">
        <v>172</v>
      </c>
      <c r="B54" s="2">
        <v>8</v>
      </c>
      <c r="C54" t="s">
        <v>137</v>
      </c>
      <c r="D54" t="s">
        <v>24</v>
      </c>
      <c r="E54" s="2">
        <v>1</v>
      </c>
      <c r="F54" s="2">
        <v>1</v>
      </c>
      <c r="G54" s="2">
        <v>1</v>
      </c>
      <c r="H54" s="2">
        <v>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30" x14ac:dyDescent="0.2">
      <c r="A55" s="35" t="s">
        <v>181</v>
      </c>
      <c r="B55" s="2">
        <v>8</v>
      </c>
      <c r="C55" t="s">
        <v>132</v>
      </c>
      <c r="D55" t="s">
        <v>31</v>
      </c>
      <c r="E55" s="2">
        <v>2</v>
      </c>
      <c r="F55" s="2">
        <v>2</v>
      </c>
      <c r="G55" s="2">
        <v>2</v>
      </c>
      <c r="H55" s="2">
        <v>2</v>
      </c>
      <c r="I55" s="2">
        <v>2</v>
      </c>
      <c r="J55" s="2">
        <v>2</v>
      </c>
      <c r="K55" s="2">
        <v>1</v>
      </c>
      <c r="L55" s="2">
        <v>1</v>
      </c>
      <c r="M55" s="2">
        <v>1</v>
      </c>
      <c r="N55" s="2">
        <v>2</v>
      </c>
      <c r="O55" s="2">
        <v>1</v>
      </c>
    </row>
    <row r="56" spans="1:30" x14ac:dyDescent="0.2">
      <c r="D56" t="str">
        <f t="shared" ref="D56" si="6">IF(A56&lt;&gt;"","Planned","")</f>
        <v/>
      </c>
      <c r="F56" s="2" t="str">
        <f t="shared" si="5"/>
        <v/>
      </c>
      <c r="AC56" s="2" t="str">
        <f t="shared" si="4"/>
        <v/>
      </c>
      <c r="AD56" s="2" t="str">
        <f t="shared" si="4"/>
        <v/>
      </c>
    </row>
    <row r="57" spans="1:30" x14ac:dyDescent="0.2">
      <c r="A57" t="s">
        <v>173</v>
      </c>
      <c r="F57" s="2" t="str">
        <f t="shared" si="5"/>
        <v/>
      </c>
      <c r="AC57" s="2" t="str">
        <f t="shared" si="4"/>
        <v/>
      </c>
      <c r="AD57" s="2" t="str">
        <f t="shared" si="4"/>
        <v/>
      </c>
    </row>
    <row r="58" spans="1:30" x14ac:dyDescent="0.2">
      <c r="A58" t="s">
        <v>174</v>
      </c>
      <c r="C58" t="s">
        <v>137</v>
      </c>
      <c r="D58" t="s">
        <v>24</v>
      </c>
      <c r="E58" s="2">
        <v>1</v>
      </c>
      <c r="F58" s="2">
        <f t="shared" si="5"/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0</v>
      </c>
      <c r="M58" s="2">
        <v>0</v>
      </c>
      <c r="N58" s="2">
        <v>0</v>
      </c>
      <c r="O58" s="2">
        <v>0</v>
      </c>
      <c r="AC58" s="2" t="str">
        <f t="shared" si="4"/>
        <v/>
      </c>
      <c r="AD58" s="2" t="str">
        <f t="shared" si="4"/>
        <v/>
      </c>
    </row>
    <row r="59" spans="1:30" x14ac:dyDescent="0.2">
      <c r="A59" t="s">
        <v>175</v>
      </c>
      <c r="C59" t="s">
        <v>137</v>
      </c>
      <c r="D59" t="s">
        <v>24</v>
      </c>
      <c r="E59" s="2">
        <v>1</v>
      </c>
      <c r="F59" s="2">
        <f t="shared" si="5"/>
        <v>1</v>
      </c>
      <c r="G59" s="2">
        <f t="shared" ref="G59:AB59" si="7">IF(OR(G$14="",$E59=""),"",F59)</f>
        <v>1</v>
      </c>
      <c r="H59" s="2">
        <f t="shared" si="7"/>
        <v>1</v>
      </c>
      <c r="I59" s="2">
        <f t="shared" si="7"/>
        <v>1</v>
      </c>
      <c r="J59" s="2">
        <f t="shared" si="7"/>
        <v>1</v>
      </c>
      <c r="K59" s="2">
        <f t="shared" si="7"/>
        <v>1</v>
      </c>
      <c r="L59" s="2">
        <v>0</v>
      </c>
      <c r="M59" s="2">
        <f t="shared" si="7"/>
        <v>0</v>
      </c>
      <c r="N59" s="2">
        <f t="shared" si="7"/>
        <v>0</v>
      </c>
      <c r="O59" s="2">
        <f t="shared" si="7"/>
        <v>0</v>
      </c>
      <c r="P59" s="2" t="str">
        <f t="shared" si="7"/>
        <v/>
      </c>
      <c r="Q59" s="2" t="str">
        <f t="shared" si="7"/>
        <v/>
      </c>
      <c r="R59" s="2" t="str">
        <f t="shared" si="7"/>
        <v/>
      </c>
      <c r="S59" s="2" t="str">
        <f t="shared" si="7"/>
        <v/>
      </c>
      <c r="T59" s="2" t="str">
        <f t="shared" si="7"/>
        <v/>
      </c>
      <c r="U59" s="2" t="str">
        <f t="shared" si="7"/>
        <v/>
      </c>
      <c r="V59" s="2" t="str">
        <f t="shared" si="7"/>
        <v/>
      </c>
      <c r="W59" s="2" t="str">
        <f t="shared" si="7"/>
        <v/>
      </c>
      <c r="X59" s="2" t="str">
        <f t="shared" si="7"/>
        <v/>
      </c>
      <c r="Y59" s="2" t="str">
        <f t="shared" si="7"/>
        <v/>
      </c>
      <c r="Z59" s="2" t="str">
        <f t="shared" si="7"/>
        <v/>
      </c>
      <c r="AA59" s="2" t="str">
        <f t="shared" si="7"/>
        <v/>
      </c>
      <c r="AB59" s="2" t="str">
        <f t="shared" si="7"/>
        <v/>
      </c>
      <c r="AC59" s="2" t="str">
        <f t="shared" si="4"/>
        <v/>
      </c>
      <c r="AD59" s="2" t="str">
        <f t="shared" si="4"/>
        <v/>
      </c>
    </row>
    <row r="61" spans="1:30" x14ac:dyDescent="0.2">
      <c r="A61" t="s">
        <v>176</v>
      </c>
      <c r="C61" t="s">
        <v>137</v>
      </c>
      <c r="D61" t="s">
        <v>31</v>
      </c>
      <c r="E61" s="2">
        <v>1</v>
      </c>
      <c r="F61" s="2">
        <f t="shared" si="5"/>
        <v>1</v>
      </c>
      <c r="G61" s="2">
        <f t="shared" ref="G61:AB61" si="8">IF(OR(G$14="",$E61=""),"",F61)</f>
        <v>1</v>
      </c>
      <c r="H61" s="2">
        <f t="shared" si="8"/>
        <v>1</v>
      </c>
      <c r="I61" s="2">
        <f t="shared" si="8"/>
        <v>1</v>
      </c>
      <c r="J61" s="2">
        <f t="shared" si="8"/>
        <v>1</v>
      </c>
      <c r="K61" s="2">
        <f t="shared" si="8"/>
        <v>1</v>
      </c>
      <c r="L61" s="2">
        <f t="shared" si="8"/>
        <v>1</v>
      </c>
      <c r="M61" s="2">
        <f t="shared" si="8"/>
        <v>1</v>
      </c>
      <c r="N61" s="2">
        <f t="shared" si="8"/>
        <v>1</v>
      </c>
      <c r="O61" s="2">
        <f t="shared" si="8"/>
        <v>1</v>
      </c>
      <c r="P61" s="2" t="str">
        <f t="shared" si="8"/>
        <v/>
      </c>
      <c r="Q61" s="2" t="str">
        <f t="shared" si="8"/>
        <v/>
      </c>
      <c r="R61" s="2" t="str">
        <f t="shared" si="8"/>
        <v/>
      </c>
      <c r="S61" s="2" t="str">
        <f t="shared" si="8"/>
        <v/>
      </c>
      <c r="T61" s="2" t="str">
        <f t="shared" si="8"/>
        <v/>
      </c>
      <c r="U61" s="2" t="str">
        <f t="shared" si="8"/>
        <v/>
      </c>
      <c r="V61" s="2" t="str">
        <f t="shared" si="8"/>
        <v/>
      </c>
      <c r="W61" s="2" t="str">
        <f t="shared" si="8"/>
        <v/>
      </c>
      <c r="X61" s="2" t="str">
        <f t="shared" si="8"/>
        <v/>
      </c>
      <c r="Y61" s="2" t="str">
        <f t="shared" si="8"/>
        <v/>
      </c>
      <c r="Z61" s="2" t="str">
        <f t="shared" si="8"/>
        <v/>
      </c>
      <c r="AA61" s="2" t="str">
        <f t="shared" si="8"/>
        <v/>
      </c>
      <c r="AB61" s="2" t="str">
        <f t="shared" si="8"/>
        <v/>
      </c>
      <c r="AC61" s="2" t="str">
        <f t="shared" si="4"/>
        <v/>
      </c>
      <c r="AD61" s="2" t="str">
        <f t="shared" si="4"/>
        <v/>
      </c>
    </row>
    <row r="63" spans="1:30" x14ac:dyDescent="0.2">
      <c r="A63" t="s">
        <v>177</v>
      </c>
      <c r="F63" s="2" t="str">
        <f t="shared" si="5"/>
        <v/>
      </c>
    </row>
    <row r="64" spans="1:30" x14ac:dyDescent="0.2">
      <c r="A64" t="s">
        <v>178</v>
      </c>
      <c r="C64" t="s">
        <v>137</v>
      </c>
      <c r="D64" t="s">
        <v>24</v>
      </c>
      <c r="E64" s="2">
        <v>4</v>
      </c>
      <c r="F64" s="2">
        <f t="shared" si="5"/>
        <v>4</v>
      </c>
      <c r="G64" s="2">
        <v>4</v>
      </c>
      <c r="H64" s="2">
        <v>4</v>
      </c>
      <c r="I64" s="2">
        <v>4</v>
      </c>
      <c r="J64" s="2">
        <v>4</v>
      </c>
      <c r="K64" s="2">
        <v>3</v>
      </c>
      <c r="L64" s="2">
        <v>0</v>
      </c>
      <c r="M64" s="2">
        <v>0</v>
      </c>
      <c r="N64" s="2">
        <v>0</v>
      </c>
      <c r="O64" s="2">
        <v>0</v>
      </c>
      <c r="AC64" s="2" t="str">
        <f t="shared" ref="AC64:AD100" si="9">IF(OR(AC$14="",$E64=""),"",AB64)</f>
        <v/>
      </c>
      <c r="AD64" s="2" t="str">
        <f t="shared" si="9"/>
        <v/>
      </c>
    </row>
    <row r="65" spans="1:30" x14ac:dyDescent="0.2">
      <c r="A65" t="s">
        <v>179</v>
      </c>
      <c r="C65" t="s">
        <v>137</v>
      </c>
      <c r="D65" t="s">
        <v>24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0</v>
      </c>
      <c r="N65" s="2">
        <v>0</v>
      </c>
      <c r="O65" s="2">
        <v>0</v>
      </c>
      <c r="AC65" s="2" t="str">
        <f t="shared" si="9"/>
        <v/>
      </c>
      <c r="AD65" s="2" t="str">
        <f t="shared" si="9"/>
        <v/>
      </c>
    </row>
    <row r="66" spans="1:30" x14ac:dyDescent="0.2">
      <c r="AC66" s="2" t="str">
        <f t="shared" si="9"/>
        <v/>
      </c>
      <c r="AD66" s="2" t="str">
        <f t="shared" si="9"/>
        <v/>
      </c>
    </row>
    <row r="67" spans="1:30" x14ac:dyDescent="0.2">
      <c r="A67" t="s">
        <v>182</v>
      </c>
      <c r="AC67" s="2" t="str">
        <f t="shared" si="9"/>
        <v/>
      </c>
      <c r="AD67" s="2" t="str">
        <f t="shared" si="9"/>
        <v/>
      </c>
    </row>
    <row r="68" spans="1:30" x14ac:dyDescent="0.2">
      <c r="A68" t="s">
        <v>187</v>
      </c>
      <c r="C68" t="s">
        <v>125</v>
      </c>
      <c r="D68" t="s">
        <v>31</v>
      </c>
      <c r="E68" s="2">
        <v>6</v>
      </c>
      <c r="F68" s="2">
        <v>6</v>
      </c>
      <c r="G68" s="2">
        <v>6</v>
      </c>
      <c r="H68" s="2">
        <v>6</v>
      </c>
      <c r="I68" s="2">
        <v>6</v>
      </c>
      <c r="J68" s="2">
        <v>6</v>
      </c>
      <c r="K68" s="2">
        <v>6</v>
      </c>
      <c r="L68" s="2">
        <v>6</v>
      </c>
      <c r="M68" s="2">
        <v>6</v>
      </c>
      <c r="N68" s="2">
        <v>2</v>
      </c>
      <c r="O68" s="2">
        <v>2</v>
      </c>
    </row>
    <row r="69" spans="1:30" x14ac:dyDescent="0.2">
      <c r="A69" t="s">
        <v>185</v>
      </c>
      <c r="C69" t="s">
        <v>125</v>
      </c>
      <c r="D69" t="s">
        <v>31</v>
      </c>
      <c r="E69" s="2">
        <v>2</v>
      </c>
      <c r="F69" s="2">
        <v>2</v>
      </c>
      <c r="G69" s="2">
        <v>2</v>
      </c>
      <c r="H69" s="2">
        <v>2</v>
      </c>
      <c r="I69" s="2">
        <v>2</v>
      </c>
      <c r="J69" s="2">
        <v>2</v>
      </c>
      <c r="K69" s="2">
        <v>2</v>
      </c>
      <c r="L69" s="2">
        <v>1</v>
      </c>
      <c r="M69" s="2">
        <v>1</v>
      </c>
      <c r="N69" s="2">
        <v>1</v>
      </c>
      <c r="O69" s="2">
        <v>1</v>
      </c>
    </row>
    <row r="70" spans="1:30" x14ac:dyDescent="0.2">
      <c r="A70" t="s">
        <v>186</v>
      </c>
      <c r="C70" t="s">
        <v>125</v>
      </c>
      <c r="D70" t="s">
        <v>31</v>
      </c>
      <c r="E70" s="2">
        <v>4</v>
      </c>
      <c r="F70" s="2">
        <v>4</v>
      </c>
      <c r="G70" s="2">
        <v>4</v>
      </c>
      <c r="H70" s="2">
        <v>4</v>
      </c>
      <c r="I70" s="2">
        <v>4</v>
      </c>
      <c r="J70" s="2">
        <v>4</v>
      </c>
      <c r="K70" s="2">
        <v>4</v>
      </c>
      <c r="L70" s="2">
        <v>4</v>
      </c>
      <c r="M70" s="2">
        <v>4</v>
      </c>
      <c r="N70" s="2">
        <v>4</v>
      </c>
      <c r="O70" s="2">
        <v>4</v>
      </c>
    </row>
    <row r="72" spans="1:30" x14ac:dyDescent="0.2">
      <c r="A72" t="s">
        <v>189</v>
      </c>
    </row>
    <row r="73" spans="1:30" x14ac:dyDescent="0.2">
      <c r="A73" t="s">
        <v>190</v>
      </c>
      <c r="C73" t="s">
        <v>137</v>
      </c>
      <c r="D73" t="s">
        <v>24</v>
      </c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4</v>
      </c>
      <c r="L73" s="2">
        <v>4</v>
      </c>
      <c r="M73" s="2">
        <v>4</v>
      </c>
      <c r="N73" s="2">
        <v>2</v>
      </c>
      <c r="O73" s="2">
        <v>0</v>
      </c>
    </row>
    <row r="74" spans="1:30" x14ac:dyDescent="0.2">
      <c r="A74" t="s">
        <v>191</v>
      </c>
      <c r="C74" t="s">
        <v>137</v>
      </c>
      <c r="D74" t="s">
        <v>24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1</v>
      </c>
      <c r="O74" s="2">
        <v>0</v>
      </c>
    </row>
    <row r="75" spans="1:30" x14ac:dyDescent="0.2">
      <c r="A75" t="s">
        <v>192</v>
      </c>
      <c r="C75" t="s">
        <v>137</v>
      </c>
      <c r="D75" t="s">
        <v>24</v>
      </c>
      <c r="E75" s="2">
        <v>3</v>
      </c>
      <c r="F75" s="2">
        <v>3</v>
      </c>
      <c r="G75" s="2">
        <v>3</v>
      </c>
      <c r="H75" s="2">
        <v>3</v>
      </c>
      <c r="I75" s="2">
        <v>3</v>
      </c>
      <c r="J75" s="2">
        <v>3</v>
      </c>
      <c r="K75" s="2">
        <v>3</v>
      </c>
      <c r="L75" s="2">
        <v>3</v>
      </c>
      <c r="M75" s="2">
        <v>3</v>
      </c>
      <c r="N75" s="2">
        <v>3</v>
      </c>
      <c r="O75" s="2">
        <v>0</v>
      </c>
    </row>
    <row r="76" spans="1:30" x14ac:dyDescent="0.2">
      <c r="A76" t="s">
        <v>195</v>
      </c>
      <c r="C76" t="s">
        <v>137</v>
      </c>
      <c r="D76" t="s">
        <v>31</v>
      </c>
      <c r="E76" s="2">
        <v>2</v>
      </c>
      <c r="F76" s="2">
        <v>2</v>
      </c>
      <c r="G76" s="2">
        <v>2</v>
      </c>
      <c r="H76" s="2">
        <v>2</v>
      </c>
      <c r="I76" s="2">
        <v>2</v>
      </c>
      <c r="J76" s="2">
        <v>2</v>
      </c>
      <c r="K76" s="2">
        <v>2</v>
      </c>
      <c r="L76" s="2">
        <v>2</v>
      </c>
      <c r="M76" s="2">
        <v>2</v>
      </c>
      <c r="N76" s="2">
        <v>2</v>
      </c>
      <c r="O76" s="2">
        <v>2</v>
      </c>
    </row>
    <row r="77" spans="1:30" x14ac:dyDescent="0.2">
      <c r="A77" t="s">
        <v>196</v>
      </c>
      <c r="C77" t="s">
        <v>154</v>
      </c>
      <c r="D77" t="s">
        <v>31</v>
      </c>
      <c r="E77" s="2">
        <v>2</v>
      </c>
      <c r="F77" s="2">
        <v>2</v>
      </c>
      <c r="G77" s="2">
        <v>2</v>
      </c>
      <c r="H77" s="2">
        <v>2</v>
      </c>
      <c r="I77" s="2">
        <v>2</v>
      </c>
      <c r="J77" s="2">
        <v>2</v>
      </c>
      <c r="K77" s="2">
        <v>2</v>
      </c>
      <c r="L77" s="2">
        <v>2</v>
      </c>
      <c r="M77" s="2">
        <v>2</v>
      </c>
      <c r="N77" s="2">
        <v>2</v>
      </c>
      <c r="O77" s="2">
        <v>2</v>
      </c>
    </row>
    <row r="78" spans="1:30" x14ac:dyDescent="0.2">
      <c r="AC78" s="2" t="str">
        <f t="shared" si="9"/>
        <v/>
      </c>
      <c r="AD78" s="2" t="str">
        <f t="shared" si="9"/>
        <v/>
      </c>
    </row>
    <row r="79" spans="1:30" x14ac:dyDescent="0.2">
      <c r="A79" t="s">
        <v>193</v>
      </c>
    </row>
    <row r="80" spans="1:30" x14ac:dyDescent="0.2">
      <c r="A80" t="s">
        <v>194</v>
      </c>
      <c r="C80" t="s">
        <v>137</v>
      </c>
      <c r="D80" t="s">
        <v>31</v>
      </c>
      <c r="E80" s="2">
        <v>6</v>
      </c>
      <c r="F80" s="2">
        <v>6</v>
      </c>
      <c r="G80" s="2">
        <v>6</v>
      </c>
      <c r="H80" s="2">
        <v>6</v>
      </c>
      <c r="I80" s="2">
        <v>6</v>
      </c>
      <c r="J80" s="2">
        <v>6</v>
      </c>
      <c r="K80" s="2">
        <v>6</v>
      </c>
      <c r="L80" s="2">
        <v>6</v>
      </c>
      <c r="M80" s="2">
        <v>6</v>
      </c>
      <c r="N80" s="2">
        <v>6</v>
      </c>
      <c r="O80" s="2">
        <v>6</v>
      </c>
    </row>
    <row r="81" spans="1:30" x14ac:dyDescent="0.2">
      <c r="A81" t="s">
        <v>197</v>
      </c>
      <c r="C81" t="s">
        <v>137</v>
      </c>
      <c r="D81" t="s">
        <v>31</v>
      </c>
      <c r="E81" s="2">
        <v>2</v>
      </c>
      <c r="F81" s="2">
        <v>2</v>
      </c>
      <c r="G81" s="2">
        <v>2</v>
      </c>
      <c r="H81" s="2">
        <v>2</v>
      </c>
      <c r="I81" s="2">
        <v>2</v>
      </c>
      <c r="J81" s="2">
        <v>2</v>
      </c>
      <c r="K81" s="2">
        <v>2</v>
      </c>
      <c r="L81" s="2">
        <v>2</v>
      </c>
      <c r="M81" s="2">
        <v>2</v>
      </c>
      <c r="N81" s="2">
        <v>2</v>
      </c>
      <c r="O81" s="2">
        <v>2</v>
      </c>
    </row>
    <row r="83" spans="1:30" x14ac:dyDescent="0.2">
      <c r="A83" t="s">
        <v>183</v>
      </c>
      <c r="D83" s="35"/>
      <c r="E83" s="34"/>
      <c r="AC83" s="2" t="str">
        <f t="shared" si="9"/>
        <v/>
      </c>
      <c r="AD83" s="2" t="str">
        <f t="shared" si="9"/>
        <v/>
      </c>
    </row>
    <row r="84" spans="1:30" x14ac:dyDescent="0.2">
      <c r="A84" s="35" t="s">
        <v>184</v>
      </c>
      <c r="B84" s="34"/>
      <c r="D84" s="35"/>
      <c r="E84" s="34"/>
      <c r="AC84" s="2" t="str">
        <f t="shared" si="9"/>
        <v/>
      </c>
      <c r="AD84" s="2" t="str">
        <f t="shared" si="9"/>
        <v/>
      </c>
    </row>
    <row r="85" spans="1:30" x14ac:dyDescent="0.2">
      <c r="A85" s="35"/>
      <c r="B85" s="34"/>
      <c r="D85" s="35"/>
      <c r="E85" s="34"/>
      <c r="AC85" s="2" t="str">
        <f t="shared" si="9"/>
        <v/>
      </c>
      <c r="AD85" s="2" t="str">
        <f t="shared" si="9"/>
        <v/>
      </c>
    </row>
    <row r="86" spans="1:30" x14ac:dyDescent="0.2">
      <c r="A86" s="35"/>
      <c r="B86" s="34"/>
      <c r="D86" s="35"/>
      <c r="E86" s="34"/>
      <c r="AC86" s="2" t="str">
        <f t="shared" si="9"/>
        <v/>
      </c>
      <c r="AD86" s="2" t="str">
        <f t="shared" si="9"/>
        <v/>
      </c>
    </row>
    <row r="87" spans="1:30" x14ac:dyDescent="0.2">
      <c r="A87" s="35"/>
      <c r="B87" s="34"/>
      <c r="D87" s="35"/>
      <c r="E87" s="34"/>
      <c r="AC87" s="2" t="str">
        <f t="shared" si="9"/>
        <v/>
      </c>
      <c r="AD87" s="2" t="str">
        <f t="shared" si="9"/>
        <v/>
      </c>
    </row>
    <row r="88" spans="1:30" x14ac:dyDescent="0.2">
      <c r="AC88" s="2" t="str">
        <f t="shared" si="9"/>
        <v/>
      </c>
      <c r="AD88" s="2" t="str">
        <f t="shared" si="9"/>
        <v/>
      </c>
    </row>
    <row r="89" spans="1:30" x14ac:dyDescent="0.2">
      <c r="AC89" s="2" t="str">
        <f t="shared" si="9"/>
        <v/>
      </c>
      <c r="AD89" s="2" t="str">
        <f t="shared" si="9"/>
        <v/>
      </c>
    </row>
    <row r="90" spans="1:30" x14ac:dyDescent="0.2">
      <c r="AC90" s="2" t="str">
        <f t="shared" si="9"/>
        <v/>
      </c>
      <c r="AD90" s="2" t="str">
        <f t="shared" si="9"/>
        <v/>
      </c>
    </row>
    <row r="91" spans="1:30" x14ac:dyDescent="0.2">
      <c r="AC91" s="2" t="str">
        <f t="shared" si="9"/>
        <v/>
      </c>
      <c r="AD91" s="2" t="str">
        <f t="shared" si="9"/>
        <v/>
      </c>
    </row>
    <row r="92" spans="1:30" x14ac:dyDescent="0.2">
      <c r="AC92" s="2" t="str">
        <f t="shared" si="9"/>
        <v/>
      </c>
      <c r="AD92" s="2" t="str">
        <f t="shared" si="9"/>
        <v/>
      </c>
    </row>
    <row r="93" spans="1:30" x14ac:dyDescent="0.2">
      <c r="AC93" s="2" t="str">
        <f t="shared" si="9"/>
        <v/>
      </c>
      <c r="AD93" s="2" t="str">
        <f t="shared" si="9"/>
        <v/>
      </c>
    </row>
    <row r="94" spans="1:30" x14ac:dyDescent="0.2">
      <c r="AC94" s="2" t="str">
        <f t="shared" si="9"/>
        <v/>
      </c>
      <c r="AD94" s="2" t="str">
        <f t="shared" si="9"/>
        <v/>
      </c>
    </row>
    <row r="95" spans="1:30" x14ac:dyDescent="0.2">
      <c r="AC95" s="2" t="str">
        <f t="shared" si="9"/>
        <v/>
      </c>
      <c r="AD95" s="2" t="str">
        <f t="shared" si="9"/>
        <v/>
      </c>
    </row>
    <row r="96" spans="1:30" x14ac:dyDescent="0.2">
      <c r="AC96" s="2" t="str">
        <f t="shared" si="9"/>
        <v/>
      </c>
      <c r="AD96" s="2" t="str">
        <f t="shared" si="9"/>
        <v/>
      </c>
    </row>
    <row r="97" spans="4:30" x14ac:dyDescent="0.2">
      <c r="AC97" s="2" t="str">
        <f t="shared" si="9"/>
        <v/>
      </c>
      <c r="AD97" s="2" t="str">
        <f t="shared" si="9"/>
        <v/>
      </c>
    </row>
    <row r="98" spans="4:30" x14ac:dyDescent="0.2">
      <c r="AC98" s="2" t="str">
        <f t="shared" si="9"/>
        <v/>
      </c>
      <c r="AD98" s="2" t="str">
        <f t="shared" si="9"/>
        <v/>
      </c>
    </row>
    <row r="99" spans="4:30" x14ac:dyDescent="0.2">
      <c r="AC99" s="2" t="str">
        <f t="shared" si="9"/>
        <v/>
      </c>
      <c r="AD99" s="2" t="str">
        <f t="shared" si="9"/>
        <v/>
      </c>
    </row>
    <row r="100" spans="4:30" x14ac:dyDescent="0.2">
      <c r="AC100" s="2" t="str">
        <f t="shared" si="9"/>
        <v/>
      </c>
      <c r="AD100" s="2" t="str">
        <f t="shared" si="9"/>
        <v/>
      </c>
    </row>
    <row r="105" spans="4:30" x14ac:dyDescent="0.2">
      <c r="D105" t="str">
        <f>IF(A105&lt;&gt;"","Planned","")</f>
        <v/>
      </c>
    </row>
  </sheetData>
  <conditionalFormatting sqref="B36:C38 A37:A38 A28:C35 D28:AD38 A15:AD27 A39:AD99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6">
    <cfRule type="expression" dxfId="11" priority="122" stopIfTrue="1">
      <formula>$D37="Done"</formula>
    </cfRule>
    <cfRule type="expression" dxfId="10" priority="123" stopIfTrue="1">
      <formula>$D37="Ongoing"</formula>
    </cfRule>
  </conditionalFormatting>
  <dataValidations count="1">
    <dataValidation type="list" allowBlank="1" showInputMessage="1" sqref="D3:D8 D15:D10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2020-02-28T13:08:35Z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