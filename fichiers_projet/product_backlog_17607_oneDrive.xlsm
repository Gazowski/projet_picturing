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'Sp2'!$A$14:$AD$76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'Sp2'!$D$14:$D$71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'Sp2'!$B$14:$B$66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20" i="22" l="1"/>
  <c r="AD20" i="22"/>
  <c r="AC26" i="22" l="1"/>
  <c r="AD26" i="22"/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77" i="22"/>
  <c r="F48" i="22"/>
  <c r="D48" i="22"/>
  <c r="F47" i="22"/>
  <c r="D47" i="22"/>
  <c r="F46" i="22"/>
  <c r="D46" i="22"/>
  <c r="F45" i="22"/>
  <c r="D45" i="22"/>
  <c r="F44" i="22"/>
  <c r="D44" i="22"/>
  <c r="F43" i="22"/>
  <c r="F50" i="22"/>
  <c r="F49" i="22"/>
  <c r="G14" i="22"/>
  <c r="H14" i="22" s="1"/>
  <c r="B11" i="22"/>
  <c r="U10" i="22" s="1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47" i="22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I11" i="23" s="1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F10" i="19" l="1"/>
  <c r="G10" i="19"/>
  <c r="X10" i="22"/>
  <c r="K10" i="22"/>
  <c r="E10" i="22"/>
  <c r="F11" i="22" s="1"/>
  <c r="S10" i="22"/>
  <c r="M10" i="22"/>
  <c r="Z10" i="22"/>
  <c r="L10" i="22"/>
  <c r="F10" i="22"/>
  <c r="Y10" i="22"/>
  <c r="AB10" i="22"/>
  <c r="AA10" i="22"/>
  <c r="P10" i="22"/>
  <c r="O10" i="22"/>
  <c r="R10" i="22"/>
  <c r="N10" i="22"/>
  <c r="Q10" i="22"/>
  <c r="W10" i="22"/>
  <c r="T10" i="22"/>
  <c r="V10" i="22"/>
  <c r="I14" i="22"/>
  <c r="I47" i="22" s="1"/>
  <c r="H48" i="22"/>
  <c r="H47" i="22"/>
  <c r="G48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M37" i="20" l="1"/>
  <c r="G11" i="22"/>
  <c r="I11" i="22"/>
  <c r="H11" i="22"/>
  <c r="J14" i="22"/>
  <c r="I48" i="22"/>
  <c r="H10" i="22"/>
  <c r="G10" i="22"/>
  <c r="F13" i="16"/>
  <c r="H12" i="16" s="1"/>
  <c r="M38" i="20"/>
  <c r="L14" i="19"/>
  <c r="K37" i="19"/>
  <c r="K36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47" i="22" l="1"/>
  <c r="J48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7" i="19"/>
  <c r="L36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48" i="22"/>
  <c r="K47" i="22"/>
  <c r="L10" i="19"/>
  <c r="M11" i="19"/>
  <c r="N14" i="19"/>
  <c r="M37" i="19"/>
  <c r="M36" i="19"/>
  <c r="M10" i="19" s="1"/>
  <c r="K59" i="24"/>
  <c r="L14" i="24"/>
  <c r="K11" i="24"/>
  <c r="K58" i="24"/>
  <c r="L47" i="22" l="1"/>
  <c r="L11" i="22"/>
  <c r="L48" i="22"/>
  <c r="M14" i="22"/>
  <c r="N37" i="19"/>
  <c r="O14" i="19"/>
  <c r="N36" i="19"/>
  <c r="N11" i="19"/>
  <c r="M14" i="24"/>
  <c r="L11" i="24"/>
  <c r="L58" i="24"/>
  <c r="L59" i="24"/>
  <c r="M47" i="22" l="1"/>
  <c r="M48" i="22"/>
  <c r="M11" i="22"/>
  <c r="N14" i="22"/>
  <c r="N10" i="19"/>
  <c r="P14" i="19"/>
  <c r="O37" i="19"/>
  <c r="O10" i="19" s="1"/>
  <c r="O36" i="19"/>
  <c r="O11" i="19"/>
  <c r="M58" i="24"/>
  <c r="M59" i="24"/>
  <c r="M11" i="24"/>
  <c r="N14" i="24"/>
  <c r="N47" i="22" l="1"/>
  <c r="N48" i="22"/>
  <c r="O14" i="22"/>
  <c r="N11" i="22"/>
  <c r="P36" i="19"/>
  <c r="P37" i="19"/>
  <c r="P11" i="19"/>
  <c r="Q14" i="19"/>
  <c r="N59" i="24"/>
  <c r="O14" i="24"/>
  <c r="N11" i="24"/>
  <c r="N58" i="24"/>
  <c r="P14" i="22" l="1"/>
  <c r="O47" i="22"/>
  <c r="O11" i="22"/>
  <c r="O48" i="22"/>
  <c r="Q11" i="19"/>
  <c r="Q37" i="19"/>
  <c r="Q36" i="19"/>
  <c r="R14" i="19"/>
  <c r="P10" i="19"/>
  <c r="O59" i="24"/>
  <c r="P14" i="24"/>
  <c r="O11" i="24"/>
  <c r="O58" i="24"/>
  <c r="P48" i="22" l="1"/>
  <c r="Q14" i="22"/>
  <c r="P11" i="22"/>
  <c r="P47" i="22"/>
  <c r="Q10" i="19"/>
  <c r="S14" i="19"/>
  <c r="R37" i="19"/>
  <c r="R11" i="19"/>
  <c r="R36" i="19"/>
  <c r="Q14" i="24"/>
  <c r="P11" i="24"/>
  <c r="P58" i="24"/>
  <c r="P59" i="24"/>
  <c r="R14" i="22" l="1"/>
  <c r="Q47" i="22"/>
  <c r="Q48" i="22"/>
  <c r="Q11" i="22"/>
  <c r="R10" i="19"/>
  <c r="S36" i="19"/>
  <c r="S11" i="19"/>
  <c r="S37" i="19"/>
  <c r="T14" i="19"/>
  <c r="Q58" i="24"/>
  <c r="Q59" i="24"/>
  <c r="R14" i="24"/>
  <c r="Q11" i="24"/>
  <c r="R11" i="22" l="1"/>
  <c r="S14" i="22"/>
  <c r="R48" i="22"/>
  <c r="R47" i="22"/>
  <c r="T37" i="19"/>
  <c r="T11" i="19"/>
  <c r="T36" i="19"/>
  <c r="U14" i="19"/>
  <c r="S10" i="19"/>
  <c r="R59" i="24"/>
  <c r="S14" i="24"/>
  <c r="R11" i="24"/>
  <c r="R58" i="24"/>
  <c r="S48" i="22" l="1"/>
  <c r="T14" i="22"/>
  <c r="S47" i="22"/>
  <c r="S11" i="22"/>
  <c r="U11" i="19"/>
  <c r="U36" i="19"/>
  <c r="U10" i="19" s="1"/>
  <c r="U37" i="19"/>
  <c r="V14" i="19"/>
  <c r="T10" i="19"/>
  <c r="S59" i="24"/>
  <c r="T14" i="24"/>
  <c r="S11" i="24"/>
  <c r="S58" i="24"/>
  <c r="T47" i="22" l="1"/>
  <c r="T11" i="22"/>
  <c r="U14" i="22"/>
  <c r="T48" i="22"/>
  <c r="V36" i="19"/>
  <c r="V11" i="19"/>
  <c r="V37" i="19"/>
  <c r="V10" i="19" s="1"/>
  <c r="W14" i="19"/>
  <c r="U14" i="24"/>
  <c r="T11" i="24"/>
  <c r="T58" i="24"/>
  <c r="T59" i="24"/>
  <c r="U48" i="22" l="1"/>
  <c r="U11" i="22"/>
  <c r="U47" i="22"/>
  <c r="V14" i="22"/>
  <c r="W36" i="19"/>
  <c r="W11" i="19"/>
  <c r="W37" i="19"/>
  <c r="W10" i="19" s="1"/>
  <c r="X14" i="19"/>
  <c r="U58" i="24"/>
  <c r="U59" i="24"/>
  <c r="V14" i="24"/>
  <c r="U11" i="24"/>
  <c r="W14" i="22" l="1"/>
  <c r="V11" i="22"/>
  <c r="V47" i="22"/>
  <c r="V48" i="22"/>
  <c r="X11" i="19"/>
  <c r="X36" i="19"/>
  <c r="X37" i="19"/>
  <c r="X10" i="19" s="1"/>
  <c r="Y14" i="19"/>
  <c r="V59" i="24"/>
  <c r="W14" i="24"/>
  <c r="V11" i="24"/>
  <c r="V58" i="24"/>
  <c r="W11" i="22" l="1"/>
  <c r="W48" i="22"/>
  <c r="W47" i="22"/>
  <c r="X14" i="22"/>
  <c r="Y11" i="19"/>
  <c r="Z14" i="19"/>
  <c r="Y36" i="19"/>
  <c r="Y37" i="19"/>
  <c r="W59" i="24"/>
  <c r="X14" i="24"/>
  <c r="W11" i="24"/>
  <c r="W58" i="24"/>
  <c r="Y14" i="22" l="1"/>
  <c r="X48" i="22"/>
  <c r="X47" i="22"/>
  <c r="X11" i="22"/>
  <c r="Y10" i="19"/>
  <c r="Z36" i="19"/>
  <c r="Z37" i="19"/>
  <c r="AA14" i="19"/>
  <c r="Z11" i="19"/>
  <c r="Y14" i="24"/>
  <c r="X11" i="24"/>
  <c r="X58" i="24"/>
  <c r="X59" i="24"/>
  <c r="Y11" i="22" l="1"/>
  <c r="Y48" i="22"/>
  <c r="Y47" i="22"/>
  <c r="Z14" i="22"/>
  <c r="AA37" i="19"/>
  <c r="AA36" i="19"/>
  <c r="AB14" i="19"/>
  <c r="AA11" i="19"/>
  <c r="Z10" i="19"/>
  <c r="Y58" i="24"/>
  <c r="Y59" i="24"/>
  <c r="Z14" i="24"/>
  <c r="Y11" i="24"/>
  <c r="Z11" i="22" l="1"/>
  <c r="Z47" i="22"/>
  <c r="Z48" i="22"/>
  <c r="AA14" i="22"/>
  <c r="AB11" i="19"/>
  <c r="AB36" i="19"/>
  <c r="AB37" i="19"/>
  <c r="AC14" i="19"/>
  <c r="AA10" i="19"/>
  <c r="Z59" i="24"/>
  <c r="AA14" i="24"/>
  <c r="Z11" i="24"/>
  <c r="Z58" i="24"/>
  <c r="AB14" i="22" l="1"/>
  <c r="AA11" i="22"/>
  <c r="AA47" i="22"/>
  <c r="AA48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C14" i="22" l="1"/>
  <c r="AB47" i="22"/>
  <c r="AB11" i="22"/>
  <c r="AB48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C19" i="22" l="1"/>
  <c r="AC25" i="22"/>
  <c r="AC24" i="22"/>
  <c r="AC51" i="22"/>
  <c r="AC66" i="22"/>
  <c r="AC44" i="22"/>
  <c r="AC11" i="22"/>
  <c r="AC18" i="22"/>
  <c r="AC55" i="22"/>
  <c r="AC61" i="22"/>
  <c r="AC53" i="22"/>
  <c r="AC47" i="22"/>
  <c r="AC67" i="22"/>
  <c r="AC68" i="22"/>
  <c r="AC15" i="22"/>
  <c r="AC21" i="22"/>
  <c r="AC46" i="22"/>
  <c r="AC63" i="22"/>
  <c r="AC62" i="22"/>
  <c r="AC64" i="22"/>
  <c r="AC43" i="22"/>
  <c r="AC48" i="22"/>
  <c r="AC16" i="22"/>
  <c r="AC54" i="22"/>
  <c r="AC41" i="22"/>
  <c r="AC58" i="22"/>
  <c r="AC17" i="22"/>
  <c r="AC56" i="22"/>
  <c r="AC59" i="22"/>
  <c r="AC52" i="22"/>
  <c r="AC71" i="22"/>
  <c r="AC57" i="22"/>
  <c r="AC42" i="22"/>
  <c r="AC70" i="22"/>
  <c r="AC50" i="22"/>
  <c r="AC65" i="22"/>
  <c r="AD14" i="22"/>
  <c r="AC40" i="22"/>
  <c r="AC22" i="22"/>
  <c r="AC27" i="22"/>
  <c r="AC69" i="22"/>
  <c r="AC72" i="22"/>
  <c r="AC23" i="22"/>
  <c r="AC45" i="22"/>
  <c r="AC60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19" i="22" l="1"/>
  <c r="AD25" i="22"/>
  <c r="AD24" i="22"/>
  <c r="AC10" i="22"/>
  <c r="AD71" i="22"/>
  <c r="AD41" i="22"/>
  <c r="AD40" i="22"/>
  <c r="AD23" i="22"/>
  <c r="AD55" i="22"/>
  <c r="AD64" i="22"/>
  <c r="AD27" i="22"/>
  <c r="AD15" i="22"/>
  <c r="AD70" i="22"/>
  <c r="AD16" i="22"/>
  <c r="AD62" i="22"/>
  <c r="AD48" i="22"/>
  <c r="AD43" i="22"/>
  <c r="AD58" i="22"/>
  <c r="AD67" i="22"/>
  <c r="AD65" i="22"/>
  <c r="AD21" i="22"/>
  <c r="AD57" i="22"/>
  <c r="AD66" i="22"/>
  <c r="AD63" i="22"/>
  <c r="AD61" i="22"/>
  <c r="AD69" i="22"/>
  <c r="AD52" i="22"/>
  <c r="AD46" i="22"/>
  <c r="AD22" i="22"/>
  <c r="AD45" i="22"/>
  <c r="AD60" i="22"/>
  <c r="AD53" i="22"/>
  <c r="AD18" i="22"/>
  <c r="AD44" i="22"/>
  <c r="AD54" i="22"/>
  <c r="AD51" i="22"/>
  <c r="AD72" i="22"/>
  <c r="AD50" i="22"/>
  <c r="AD47" i="22"/>
  <c r="AD56" i="22"/>
  <c r="AD59" i="22"/>
  <c r="AD42" i="22"/>
  <c r="AD17" i="22"/>
  <c r="AD11" i="22"/>
  <c r="AD68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<sst xmlns="http://schemas.openxmlformats.org/spreadsheetml/2006/main" count="364" uniqueCount="167">
  <si>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</si>
  <si>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</si>
  <si>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</si>
  <si>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</si>
  <si>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</si>
  <si>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</si>
  <si>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</si>
  <si>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</si>
  <si>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</si>
  <si>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</si>
  <si>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</si>
  <si>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</si>
  <si>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</si>
  <si>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</si>
  <si>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</si>
  <si>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</si>
  <si>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</si>
  <si>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</si>
  <si>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</si>
  <si>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</si>
  <si>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</si>
  <si>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</si>
  <si>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</si>
  <si>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</si>
  <si>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</si>
  <si>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</si>
  <si>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</si>
  <si>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</si>
  <si>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Ongoing</t>
  </si>
  <si>
    <t>En tant que Fournisseur, je veux publier une annonce</t>
  </si>
  <si>
    <t>Fournisseur</t>
  </si>
  <si>
    <t>Affichage des annonces</t>
  </si>
  <si>
    <t>En tant que Prestataire, je veux consulter les annonces</t>
  </si>
  <si>
    <t xml:space="preserve">soumissionner </t>
  </si>
  <si>
    <t>Planned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</si>
  <si>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</si>
  <si>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</si>
  <si>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</si>
  <si>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</si>
  <si>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</si>
  <si>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</si>
  <si>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</si>
  <si>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</si>
  <si>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</si>
  <si>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</si>
  <si>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</si>
  <si>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</si>
  <si>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</si>
  <si>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</si>
  <si>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</si>
  <si>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</si>
  <si>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</si>
  <si>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</si>
  <si>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</si>
  <si>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</si>
  <si>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</si>
  <si>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</si>
  <si>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</si>
  <si>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</si>
  <si>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</si>
  <si>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</si>
  <si>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</si>
  <si>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</si>
  <si>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</si>
  <si>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</si>
  <si>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</si>
  <si>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</si>
  <si>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</si>
  <si>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</si>
  <si>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</si>
  <si>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</si>
  <si>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</si>
  <si>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</si>
  <si>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</si>
  <si>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</si>
  <si>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</si>
  <si>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</si>
  <si>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</si>
  <si>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</si>
  <si>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</si>
  <si>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</si>
  <si>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</si>
  <si>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</si>
  <si>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</si>
  <si>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</si>
  <si>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</si>
  <si>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</si>
  <si>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</si>
  <si>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</si>
  <si>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</si>
  <si>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</si>
  <si>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</si>
  <si>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</si>
  <si>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</si>
  <si>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</si>
  <si>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</si>
  <si>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</si>
  <si>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</si>
  <si>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</si>
  <si>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</si>
  <si>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</si>
  <si>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</si>
  <si>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</si>
  <si>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</si>
  <si>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</si>
  <si>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</si>
  <si>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</si>
  <si>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</si>
  <si>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</si>
  <si>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</si>
  <si>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</si>
  <si>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</si>
  <si>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</si>
  <si>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</si>
  <si>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</si>
  <si>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</si>
  <si>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</si>
  <si>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</si>
  <si>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</si>
  <si>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</si>
  <si>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>kervens</t>
  </si>
  <si>
    <t>salah,olivier</t>
  </si>
  <si>
    <t>kervens, gael</t>
  </si>
  <si>
    <t>vue footer : html</t>
  </si>
  <si>
    <t>vue tuile : html</t>
  </si>
  <si>
    <t>vue tuile: css</t>
  </si>
  <si>
    <t>vue liste : html</t>
  </si>
  <si>
    <t>kervens,gael</t>
  </si>
  <si>
    <t>vue liste : css</t>
  </si>
  <si>
    <t>vue formulaire : html</t>
  </si>
  <si>
    <t>vue formulaire : css</t>
  </si>
  <si>
    <t>db: ajouter des fournisseur</t>
  </si>
  <si>
    <t>gael</t>
  </si>
  <si>
    <t>controleur membre : se connecter</t>
  </si>
  <si>
    <t>controleur annonce : ajouter une annonce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</si>
  <si>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</si>
  <si>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</si>
  <si>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</si>
  <si>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</si>
  <si>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header + menu : css</t>
  </si>
  <si>
    <t xml:space="preserve">vue header + menu : html </t>
  </si>
  <si>
    <t xml:space="preserve">vue footer (mobile): css </t>
  </si>
  <si>
    <t>controleur annonce : voir la liste d'annonces</t>
  </si>
  <si>
    <t xml:space="preserve">    faire le css pour la vue annonce</t>
  </si>
  <si>
    <t>olivier</t>
  </si>
  <si>
    <t>salah</t>
  </si>
  <si>
    <t>controleur annonce : soumissionner</t>
  </si>
  <si>
    <t xml:space="preserve">    controleur message : enregistre le message</t>
  </si>
  <si>
    <t xml:space="preserve">    faire une vue annonce </t>
  </si>
  <si>
    <t xml:space="preserve">    afficher l'annonce</t>
  </si>
  <si>
    <t xml:space="preserve">         vue annonce : ajouter bouton soumissionner</t>
  </si>
  <si>
    <t xml:space="preserve">         vue annonce : liste des messages</t>
  </si>
  <si>
    <t xml:space="preserve">    afficher le message dans la vue</t>
  </si>
  <si>
    <t>vue footer : css</t>
  </si>
  <si>
    <t xml:space="preserve">controleur auth : inscription   </t>
  </si>
  <si>
    <t xml:space="preserve">    - ajout bouton s'inscrire dans le form login </t>
  </si>
  <si>
    <t>done</t>
  </si>
  <si>
    <t xml:space="preserve">    - mettre en forme le form inscription</t>
  </si>
  <si>
    <t xml:space="preserve">     faire l'ajout de photo</t>
  </si>
  <si>
    <t xml:space="preserve">     bug : pas d'erreur si la catégorie n'est pas select</t>
  </si>
  <si>
    <t>controleur membre : activer membre</t>
  </si>
  <si>
    <t>réorganiser le css en itcss</t>
  </si>
  <si>
    <t>controleur membre : activer un membre</t>
  </si>
  <si>
    <t>vue alert: html</t>
  </si>
  <si>
    <t>vue alert : html</t>
  </si>
  <si>
    <t>vue alert : css</t>
  </si>
  <si>
    <t>script : organiser les fichier 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</si>
</sst>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55</c:v>
                </c:pt>
                <c:pt idx="1">
                  <c:v>35</c:v>
                </c:pt>
                <c:pt idx="2">
                  <c:v>12.5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66</c:v>
                </c:pt>
                <c:pt idx="1">
                  <c:v>52.8</c:v>
                </c:pt>
                <c:pt idx="2">
                  <c:v>39.6</c:v>
                </c:pt>
                <c:pt idx="3">
                  <c:v>26.400000000000006</c:v>
                </c:pt>
                <c:pt idx="4">
                  <c:v>13.200000000000003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49.099999999999994</c:v>
                </c:pt>
                <c:pt idx="1">
                  <c:v>35.299999999999997</c:v>
                </c:pt>
                <c:pt idx="2">
                  <c:v>21.5</c:v>
                </c:pt>
                <c:pt idx="3">
                  <c:v>7.7000000000000028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1" priority="1" stopIfTrue="1">
      <formula>$F4="Planned"</formula>
    </cfRule>
    <cfRule type="expression" dxfId="50" priority="2" stopIfTrue="1">
      <formula>$F4="Ongoing"</formula>
    </cfRule>
  </conditionalFormatting>
  <conditionalFormatting sqref="F4:F10 F16:F30">
    <cfRule type="expression" dxfId="49" priority="3" stopIfTrue="1">
      <formula>$F4="Planned"</formula>
    </cfRule>
    <cfRule type="expression" dxfId="48" priority="4" stopIfTrue="1">
      <formula>$F4="Ongoing"</formula>
    </cfRule>
    <cfRule type="cellIs" dxfId="47" priority="5" stopIfTrue="1" operator="equal">
      <formula>"Unplanned"</formula>
    </cfRule>
  </conditionalFormatting>
  <conditionalFormatting sqref="E4 G16:H30 A16:E30">
    <cfRule type="expression" dxfId="46" priority="6" stopIfTrue="1">
      <formula>OR($F4="Planned",$F4="Unplanned")</formula>
    </cfRule>
    <cfRule type="expression" dxfId="45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8" activePane="bottomLeft" state="frozen"/>
      <selection pane="bottomLeft" activeCell="G10" sqref="G10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29</v>
      </c>
      <c r="H6" s="79" t="s">
        <v>30</v>
      </c>
    </row>
    <row r="7" spans="1:8" ht="25.5" x14ac:dyDescent="0.2">
      <c r="A7">
        <v>5</v>
      </c>
      <c r="B7" s="32" t="s">
        <v>31</v>
      </c>
      <c r="C7" s="34" t="s">
        <v>28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28</v>
      </c>
      <c r="E8" s="34">
        <v>2</v>
      </c>
      <c r="F8" s="34">
        <v>3</v>
      </c>
      <c r="G8" s="79" t="s">
        <v>35</v>
      </c>
      <c r="H8" s="79" t="s">
        <v>26</v>
      </c>
    </row>
    <row r="9" spans="1:8" ht="42.75" customHeight="1" x14ac:dyDescent="0.2">
      <c r="A9">
        <v>7</v>
      </c>
      <c r="B9" s="32" t="s">
        <v>36</v>
      </c>
      <c r="C9" s="34" t="s">
        <v>28</v>
      </c>
      <c r="E9" s="34">
        <v>2</v>
      </c>
      <c r="F9" s="34">
        <v>2</v>
      </c>
      <c r="G9" s="79" t="s">
        <v>37</v>
      </c>
      <c r="H9" s="32" t="s">
        <v>38</v>
      </c>
    </row>
    <row r="10" spans="1:8" ht="30.75" customHeight="1" x14ac:dyDescent="0.2">
      <c r="A10">
        <v>8</v>
      </c>
      <c r="B10" s="32" t="s">
        <v>39</v>
      </c>
      <c r="C10" s="34" t="s">
        <v>34</v>
      </c>
      <c r="F10" s="34">
        <v>3</v>
      </c>
      <c r="G10" s="32" t="s">
        <v>40</v>
      </c>
      <c r="H10" s="35" t="s">
        <v>38</v>
      </c>
    </row>
    <row r="11" spans="1:8" ht="38.25" x14ac:dyDescent="0.2">
      <c r="A11">
        <v>9</v>
      </c>
      <c r="B11" s="32" t="s">
        <v>41</v>
      </c>
      <c r="C11" s="34" t="s">
        <v>34</v>
      </c>
      <c r="F11" s="34">
        <v>3</v>
      </c>
      <c r="G11" s="79" t="s">
        <v>42</v>
      </c>
      <c r="H11" s="79" t="s">
        <v>30</v>
      </c>
    </row>
    <row r="12" spans="1:8" ht="26.25" customHeight="1" x14ac:dyDescent="0.2">
      <c r="A12">
        <v>10</v>
      </c>
      <c r="B12" s="32" t="s">
        <v>43</v>
      </c>
      <c r="C12" s="34" t="s">
        <v>34</v>
      </c>
      <c r="F12" s="34">
        <v>3</v>
      </c>
      <c r="G12" s="32" t="s">
        <v>44</v>
      </c>
      <c r="H12" s="35" t="s">
        <v>38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28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44" priority="108" stopIfTrue="1">
      <formula>$C4="Done"</formula>
    </cfRule>
    <cfRule type="expression" dxfId="43" priority="109" stopIfTrue="1">
      <formula>$C4="Ongoing"</formula>
    </cfRule>
    <cfRule type="expression" dxfId="42" priority="110" stopIfTrue="1">
      <formula>$C4="Removed"</formula>
    </cfRule>
  </conditionalFormatting>
  <conditionalFormatting sqref="G54">
    <cfRule type="expression" dxfId="41" priority="111" stopIfTrue="1">
      <formula>$C44="Done"</formula>
    </cfRule>
    <cfRule type="expression" dxfId="40" priority="112" stopIfTrue="1">
      <formula>$C44="Ongoing"</formula>
    </cfRule>
    <cfRule type="expression" dxfId="39" priority="113" stopIfTrue="1">
      <formula>$C44="Removed"</formula>
    </cfRule>
  </conditionalFormatting>
  <conditionalFormatting sqref="G43:G44">
    <cfRule type="expression" dxfId="38" priority="114" stopIfTrue="1">
      <formula>#REF!="Done"</formula>
    </cfRule>
    <cfRule type="expression" dxfId="37" priority="115" stopIfTrue="1">
      <formula>#REF!="Ongoing"</formula>
    </cfRule>
    <cfRule type="expression" dxfId="36" priority="116" stopIfTrue="1">
      <formula>#REF!="Removed"</formula>
    </cfRule>
  </conditionalFormatting>
  <conditionalFormatting sqref="G23">
    <cfRule type="expression" dxfId="35" priority="117" stopIfTrue="1">
      <formula>#REF!="Done"</formula>
    </cfRule>
    <cfRule type="expression" dxfId="34" priority="118" stopIfTrue="1">
      <formula>#REF!="Ongoing"</formula>
    </cfRule>
    <cfRule type="expression" dxfId="33" priority="119" stopIfTrue="1">
      <formula>#REF!="Removed"</formula>
    </cfRule>
  </conditionalFormatting>
  <conditionalFormatting sqref="H4">
    <cfRule type="expression" dxfId="32" priority="105" stopIfTrue="1">
      <formula>$C4="Done"</formula>
    </cfRule>
    <cfRule type="expression" dxfId="31" priority="106" stopIfTrue="1">
      <formula>$C4="Ongoing"</formula>
    </cfRule>
    <cfRule type="expression" dxfId="30" priority="107" stopIfTrue="1">
      <formula>$C4="Removed"</formula>
    </cfRule>
  </conditionalFormatting>
  <conditionalFormatting sqref="A5:A12">
    <cfRule type="expression" dxfId="29" priority="7" stopIfTrue="1">
      <formula>$D5="Done"</formula>
    </cfRule>
    <cfRule type="expression" dxfId="28" priority="8" stopIfTrue="1">
      <formula>$D5="Ongoing"</formula>
    </cfRule>
  </conditionalFormatting>
  <conditionalFormatting sqref="G5">
    <cfRule type="expression" dxfId="27" priority="4" stopIfTrue="1">
      <formula>$C5="Done"</formula>
    </cfRule>
    <cfRule type="expression" dxfId="26" priority="5" stopIfTrue="1">
      <formula>$C5="Ongoing"</formula>
    </cfRule>
    <cfRule type="expression" dxfId="25" priority="6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140</v>
      </c>
      <c r="B17" s="34">
        <v>5</v>
      </c>
      <c r="C17" t="s">
        <v>122</v>
      </c>
      <c r="D17" s="35" t="s">
        <v>28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139</v>
      </c>
      <c r="B18" s="34">
        <v>5</v>
      </c>
      <c r="C18" t="s">
        <v>121</v>
      </c>
      <c r="D18" s="35" t="s">
        <v>28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123</v>
      </c>
      <c r="B19" s="34">
        <v>5</v>
      </c>
      <c r="C19" t="s">
        <v>120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141</v>
      </c>
      <c r="B20" s="34">
        <v>5</v>
      </c>
      <c r="C20" t="s">
        <v>121</v>
      </c>
      <c r="D20" s="35" t="s">
        <v>28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124</v>
      </c>
      <c r="B21" s="34">
        <v>5</v>
      </c>
      <c r="C21" t="s">
        <v>120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125</v>
      </c>
      <c r="B22" s="34">
        <v>5</v>
      </c>
      <c r="C22" t="s">
        <v>121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126</v>
      </c>
      <c r="B23" s="34">
        <v>5</v>
      </c>
      <c r="C23" t="s">
        <v>127</v>
      </c>
      <c r="D23" s="35" t="s">
        <v>28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128</v>
      </c>
      <c r="B24" s="34">
        <v>5</v>
      </c>
      <c r="C24" t="s">
        <v>145</v>
      </c>
      <c r="D24" s="35" t="s">
        <v>34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163</v>
      </c>
      <c r="C25"/>
    </row>
    <row r="26" spans="1:30" x14ac:dyDescent="0.2">
      <c r="A26" s="35" t="s">
        <v>163</v>
      </c>
      <c r="C26"/>
    </row>
    <row r="27" spans="1:30" x14ac:dyDescent="0.2">
      <c r="A27" s="35" t="s">
        <v>129</v>
      </c>
      <c r="B27" s="34">
        <v>3</v>
      </c>
      <c r="C27" t="s">
        <v>122</v>
      </c>
      <c r="D27" s="35" t="s">
        <v>28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130</v>
      </c>
      <c r="B28" s="34">
        <v>3</v>
      </c>
      <c r="C28" t="s">
        <v>121</v>
      </c>
      <c r="D28" s="35" t="s">
        <v>28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131</v>
      </c>
      <c r="B30" s="34">
        <v>3</v>
      </c>
      <c r="C30" t="s">
        <v>132</v>
      </c>
      <c r="D30" s="35" t="s">
        <v>28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133</v>
      </c>
      <c r="B31" s="34">
        <v>3</v>
      </c>
      <c r="C31" t="s">
        <v>132</v>
      </c>
      <c r="D31" s="35" t="s">
        <v>28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162</v>
      </c>
      <c r="B32" s="34">
        <v>3</v>
      </c>
      <c r="C32" t="s">
        <v>132</v>
      </c>
      <c r="D32" s="35" t="s">
        <v>28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134</v>
      </c>
      <c r="B33" s="34">
        <v>3</v>
      </c>
      <c r="C33" t="s">
        <v>132</v>
      </c>
      <c r="D33" s="35" t="s">
        <v>28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142</v>
      </c>
      <c r="B34" s="34">
        <v>5</v>
      </c>
      <c r="C34" t="s">
        <v>120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135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136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137</v>
      </c>
      <c r="B37" s="34">
        <v>5</v>
      </c>
      <c r="C37" t="s">
        <v>120</v>
      </c>
      <c r="D37" s="35" t="s">
        <v>28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138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77"/>
  <sheetViews>
    <sheetView tabSelected="1" zoomScale="140" zoomScaleNormal="140" workbookViewId="0">
      <pane ySplit="14" topLeftCell="A15" activePane="bottomLeft" state="frozen"/>
      <selection pane="bottomLeft" activeCell="J44" sqref="J44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66</v>
      </c>
      <c r="F10" s="17">
        <f ca="1">IF(AND(SUM(OFFSET(F14,1,0,TaskRows,1))=0),0,SUM(OFFSET(F14,1,0,TaskRows,1)))</f>
        <v>55</v>
      </c>
      <c r="G10" s="17">
        <f t="shared" ref="G10:AD10" ca="1" si="0">IF(AND(SUM(OFFSET(G14,1,0,TaskRows,1))=0),"",SUM(OFFSET(G14,1,0,TaskRows,1)))</f>
        <v>35</v>
      </c>
      <c r="H10" s="17">
        <f t="shared" ca="1" si="0"/>
        <v>12.5</v>
      </c>
      <c r="I10" s="17">
        <f t="shared" ca="1" si="0"/>
        <v>3</v>
      </c>
      <c r="J10" s="17">
        <f t="shared" ca="1" si="0"/>
        <v>2</v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IF(COUNTA(A15:A255)=0,1,COUNTA(A15:A255))</f>
        <v>28</v>
      </c>
      <c r="C11" t="s">
        <v>104</v>
      </c>
      <c r="D11" s="2">
        <f ca="1">IF(COUNTIF(F10:AD10,"&gt;0")=0,1,COUNTIF(F10:AD10,"&gt;0"))</f>
        <v>5</v>
      </c>
      <c r="F11" s="2">
        <f ca="1">IF(F14="","",$E10-$E10/($B9-1)*(F14-1))</f>
        <v>66</v>
      </c>
      <c r="G11" s="2">
        <f t="shared" ref="G11:AD11" ca="1" si="1">IF(G14="","",TotalEffort-TotalEffort/(ImplementationDays)*(G14-1))</f>
        <v>52.8</v>
      </c>
      <c r="H11" s="2">
        <f t="shared" ca="1" si="1"/>
        <v>39.6</v>
      </c>
      <c r="I11" s="2">
        <f t="shared" ca="1" si="1"/>
        <v>26.400000000000006</v>
      </c>
      <c r="J11" s="2">
        <f t="shared" ca="1" si="1"/>
        <v>13.200000000000003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49.099999999999994</v>
      </c>
      <c r="G12" s="2">
        <f t="shared" ca="1" si="2"/>
        <v>35.299999999999997</v>
      </c>
      <c r="H12" s="2">
        <f t="shared" ca="1" si="2"/>
        <v>21.5</v>
      </c>
      <c r="I12" s="2">
        <f t="shared" ca="1" si="2"/>
        <v>7.7000000000000028</v>
      </c>
      <c r="J12" s="2" t="str">
        <f t="shared" ca="1" si="2"/>
        <v/>
      </c>
      <c r="K12" s="2" t="str">
        <f t="shared" ca="1" si="2"/>
        <v/>
      </c>
      <c r="L12" s="2" t="str">
        <f t="shared" ca="1" si="2"/>
        <v/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126</v>
      </c>
      <c r="B15" s="34">
        <v>5</v>
      </c>
      <c r="C15" t="s">
        <v>127</v>
      </c>
      <c r="D15" s="35" t="s">
        <v>28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AC15" s="2" t="str">
        <f t="shared" ref="AC15:AD48" si="4">IF(OR(AC$14="",$E15=""),"",AB15)</f>
        <v/>
      </c>
      <c r="AD15" s="2" t="str">
        <f t="shared" si="4"/>
        <v/>
      </c>
    </row>
    <row r="16" spans="1:30" x14ac:dyDescent="0.2">
      <c r="A16" s="35" t="s">
        <v>128</v>
      </c>
      <c r="B16" s="34">
        <v>5</v>
      </c>
      <c r="C16" t="s">
        <v>121</v>
      </c>
      <c r="D16" s="35" t="s">
        <v>34</v>
      </c>
      <c r="E16" s="34">
        <v>3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129</v>
      </c>
      <c r="B17" s="34">
        <v>3</v>
      </c>
      <c r="C17" t="s">
        <v>122</v>
      </c>
      <c r="D17" s="35" t="s">
        <v>28</v>
      </c>
      <c r="E17" s="34">
        <v>1</v>
      </c>
      <c r="F17" s="34"/>
      <c r="G17" s="34"/>
      <c r="H17" s="34"/>
      <c r="I17" s="34"/>
      <c r="J17" s="34"/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130</v>
      </c>
      <c r="B18" s="34">
        <v>3</v>
      </c>
      <c r="C18" t="s">
        <v>121</v>
      </c>
      <c r="D18" s="35" t="s">
        <v>28</v>
      </c>
      <c r="E18" s="34">
        <v>5</v>
      </c>
      <c r="F18" s="34">
        <v>4</v>
      </c>
      <c r="G18" s="34">
        <v>3</v>
      </c>
      <c r="H18" s="34"/>
      <c r="I18" s="34"/>
      <c r="J18" s="34"/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153</v>
      </c>
      <c r="B19" s="34">
        <v>3</v>
      </c>
      <c r="C19" t="s">
        <v>145</v>
      </c>
      <c r="D19" s="35" t="s">
        <v>156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164</v>
      </c>
      <c r="B20" s="34"/>
      <c r="C20" t="s">
        <v>132</v>
      </c>
      <c r="D20" s="35" t="s">
        <v>156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165</v>
      </c>
      <c r="B21" s="34"/>
      <c r="C21" t="s">
        <v>145</v>
      </c>
      <c r="D21" s="35" t="s">
        <v>28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0.5</v>
      </c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131</v>
      </c>
      <c r="B22" s="34">
        <v>3</v>
      </c>
      <c r="C22" t="s">
        <v>132</v>
      </c>
      <c r="D22" s="35" t="s">
        <v>28</v>
      </c>
      <c r="E22" s="34">
        <v>4</v>
      </c>
      <c r="F22" s="34">
        <v>4</v>
      </c>
      <c r="G22" s="34">
        <v>1</v>
      </c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134</v>
      </c>
      <c r="B23" s="34">
        <v>3</v>
      </c>
      <c r="C23" t="s">
        <v>132</v>
      </c>
      <c r="D23" s="35" t="s">
        <v>28</v>
      </c>
      <c r="E23" s="34">
        <v>0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158</v>
      </c>
      <c r="B24" s="34">
        <v>3</v>
      </c>
      <c r="C24" t="s">
        <v>132</v>
      </c>
      <c r="D24" s="35" t="s">
        <v>34</v>
      </c>
      <c r="E24" s="34">
        <v>3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159</v>
      </c>
      <c r="B25" s="34"/>
      <c r="C25" t="s">
        <v>132</v>
      </c>
      <c r="D25" s="35" t="s">
        <v>34</v>
      </c>
      <c r="E25" s="34">
        <v>2</v>
      </c>
      <c r="F25" s="34"/>
      <c r="G25" s="34"/>
      <c r="H25" s="34"/>
      <c r="I25" s="34"/>
      <c r="J25" s="34"/>
      <c r="AC25" s="2" t="str">
        <f t="shared" si="4"/>
        <v/>
      </c>
      <c r="AD25" s="2" t="str">
        <f t="shared" si="4"/>
        <v/>
      </c>
    </row>
    <row r="26" spans="1:30" x14ac:dyDescent="0.2">
      <c r="A26" s="35" t="s">
        <v>161</v>
      </c>
      <c r="B26" s="34"/>
      <c r="C26" t="s">
        <v>145</v>
      </c>
      <c r="D26" s="35" t="s">
        <v>24</v>
      </c>
      <c r="E26" s="34">
        <v>3</v>
      </c>
      <c r="F26" s="34">
        <v>3</v>
      </c>
      <c r="G26" s="34">
        <v>3</v>
      </c>
      <c r="H26" s="34">
        <v>3</v>
      </c>
      <c r="I26" s="34">
        <v>0</v>
      </c>
      <c r="J26" s="34">
        <v>0</v>
      </c>
      <c r="AC26" s="2" t="str">
        <f t="shared" si="4"/>
        <v/>
      </c>
      <c r="AD26" s="2" t="str">
        <f t="shared" si="4"/>
        <v/>
      </c>
    </row>
    <row r="27" spans="1:30" x14ac:dyDescent="0.2">
      <c r="A27" s="35" t="s">
        <v>135</v>
      </c>
      <c r="B27" s="34">
        <v>5</v>
      </c>
      <c r="D27" s="35" t="s">
        <v>28</v>
      </c>
      <c r="E27" s="34"/>
      <c r="F27" s="34"/>
      <c r="G27" s="34"/>
      <c r="H27" s="34"/>
      <c r="I27" s="34"/>
      <c r="J27" s="34"/>
      <c r="AC27" s="2" t="str">
        <f t="shared" si="4"/>
        <v/>
      </c>
      <c r="AD27" s="2" t="str">
        <f t="shared" si="4"/>
        <v/>
      </c>
    </row>
    <row r="28" spans="1:30" x14ac:dyDescent="0.2">
      <c r="A28" s="35" t="s">
        <v>149</v>
      </c>
      <c r="B28" s="34"/>
      <c r="C28" t="s">
        <v>144</v>
      </c>
      <c r="D28" s="35" t="s">
        <v>28</v>
      </c>
      <c r="E28" s="34">
        <v>5</v>
      </c>
      <c r="F28" s="34">
        <v>5</v>
      </c>
      <c r="G28" s="34">
        <v>2</v>
      </c>
      <c r="H28" s="34"/>
      <c r="I28" s="34"/>
      <c r="J28" s="34"/>
    </row>
    <row r="29" spans="1:30" x14ac:dyDescent="0.2">
      <c r="A29" s="35" t="s">
        <v>143</v>
      </c>
      <c r="B29" s="34"/>
      <c r="C29" t="s">
        <v>145</v>
      </c>
      <c r="D29" s="35" t="s">
        <v>28</v>
      </c>
      <c r="E29" s="34">
        <v>5</v>
      </c>
      <c r="F29" s="34">
        <v>5</v>
      </c>
      <c r="G29" s="34">
        <v>5</v>
      </c>
      <c r="H29" s="34"/>
      <c r="I29" s="34"/>
      <c r="J29" s="34"/>
    </row>
    <row r="30" spans="1:30" x14ac:dyDescent="0.2">
      <c r="A30" s="35" t="s">
        <v>148</v>
      </c>
      <c r="B30" s="34"/>
      <c r="C30" t="s">
        <v>120</v>
      </c>
      <c r="D30" s="35" t="s">
        <v>28</v>
      </c>
      <c r="E30" s="34">
        <v>3</v>
      </c>
      <c r="F30" s="34">
        <v>3</v>
      </c>
      <c r="G30" s="34">
        <v>0.5</v>
      </c>
      <c r="H30" s="34"/>
      <c r="I30" s="34"/>
      <c r="J30" s="34"/>
    </row>
    <row r="31" spans="1:30" x14ac:dyDescent="0.2">
      <c r="A31" s="35" t="s">
        <v>150</v>
      </c>
      <c r="B31" s="34"/>
      <c r="C31" t="s">
        <v>120</v>
      </c>
      <c r="D31" s="35" t="s">
        <v>28</v>
      </c>
      <c r="E31" s="34">
        <v>1</v>
      </c>
      <c r="F31" s="34">
        <v>1</v>
      </c>
      <c r="G31" s="34">
        <v>0</v>
      </c>
      <c r="H31" s="34"/>
      <c r="I31" s="34"/>
      <c r="J31" s="34"/>
    </row>
    <row r="32" spans="1:30" x14ac:dyDescent="0.2">
      <c r="A32" s="35" t="s">
        <v>151</v>
      </c>
      <c r="B32" s="34"/>
      <c r="C32" t="s">
        <v>120</v>
      </c>
      <c r="D32" s="35" t="s">
        <v>28</v>
      </c>
      <c r="E32" s="34">
        <v>1</v>
      </c>
      <c r="F32" s="34">
        <v>1</v>
      </c>
      <c r="G32" s="34">
        <v>0</v>
      </c>
      <c r="H32" s="34"/>
      <c r="I32" s="34"/>
      <c r="J32" s="34"/>
    </row>
    <row r="33" spans="1:30" x14ac:dyDescent="0.2">
      <c r="A33" s="35" t="s">
        <v>146</v>
      </c>
      <c r="B33" s="34"/>
      <c r="C33" t="s">
        <v>144</v>
      </c>
      <c r="D33" s="35" t="s">
        <v>28</v>
      </c>
      <c r="E33" s="34">
        <v>5</v>
      </c>
      <c r="F33" s="34">
        <v>5</v>
      </c>
      <c r="G33" s="34">
        <v>3</v>
      </c>
      <c r="H33" s="34"/>
      <c r="I33" s="34"/>
      <c r="J33" s="34"/>
    </row>
    <row r="34" spans="1:30" x14ac:dyDescent="0.2">
      <c r="A34" s="35" t="s">
        <v>147</v>
      </c>
      <c r="B34" s="34"/>
      <c r="C34" t="s">
        <v>144</v>
      </c>
      <c r="D34" s="35" t="s">
        <v>28</v>
      </c>
      <c r="E34" s="34">
        <v>5</v>
      </c>
      <c r="F34" s="34">
        <v>5</v>
      </c>
      <c r="G34" s="34">
        <v>3</v>
      </c>
      <c r="H34" s="34"/>
      <c r="I34" s="34"/>
      <c r="J34" s="34"/>
    </row>
    <row r="35" spans="1:30" x14ac:dyDescent="0.2">
      <c r="A35" s="35" t="s">
        <v>152</v>
      </c>
      <c r="B35" s="34"/>
      <c r="C35" t="s">
        <v>144</v>
      </c>
      <c r="D35" s="35" t="s">
        <v>28</v>
      </c>
      <c r="E35" s="34">
        <v>1</v>
      </c>
      <c r="F35" s="34">
        <v>1</v>
      </c>
      <c r="G35" s="34">
        <v>0.5</v>
      </c>
      <c r="H35" s="34"/>
      <c r="I35" s="34"/>
      <c r="J35" s="34"/>
    </row>
    <row r="36" spans="1:30" x14ac:dyDescent="0.2">
      <c r="A36" s="35"/>
      <c r="B36" s="34"/>
      <c r="D36" s="35"/>
      <c r="E36" s="34"/>
      <c r="F36" s="34"/>
      <c r="G36" s="34"/>
      <c r="H36" s="34"/>
      <c r="I36" s="34"/>
      <c r="J36" s="34"/>
    </row>
    <row r="37" spans="1:30" x14ac:dyDescent="0.2">
      <c r="A37" s="35" t="s">
        <v>154</v>
      </c>
      <c r="B37" s="34">
        <v>5</v>
      </c>
      <c r="C37" t="s">
        <v>132</v>
      </c>
      <c r="D37" s="35" t="s">
        <v>28</v>
      </c>
      <c r="E37" s="34">
        <v>4</v>
      </c>
      <c r="F37" s="34">
        <v>4</v>
      </c>
      <c r="G37" s="34">
        <v>1</v>
      </c>
      <c r="H37" s="34"/>
      <c r="I37" s="34"/>
      <c r="J37" s="34"/>
    </row>
    <row r="38" spans="1:30" x14ac:dyDescent="0.2">
      <c r="A38" s="35" t="s">
        <v>155</v>
      </c>
      <c r="B38" s="34">
        <v>5</v>
      </c>
      <c r="C38" t="s">
        <v>132</v>
      </c>
      <c r="D38" s="35" t="s">
        <v>156</v>
      </c>
      <c r="E38" s="34">
        <v>1</v>
      </c>
      <c r="F38" s="34">
        <v>1</v>
      </c>
      <c r="G38" s="34">
        <v>1</v>
      </c>
      <c r="H38" s="34">
        <v>0</v>
      </c>
      <c r="I38" s="34">
        <v>0</v>
      </c>
      <c r="J38" s="34">
        <v>0</v>
      </c>
    </row>
    <row r="39" spans="1:30" x14ac:dyDescent="0.2">
      <c r="A39" s="35" t="s">
        <v>157</v>
      </c>
      <c r="B39" s="34">
        <v>5</v>
      </c>
      <c r="C39" t="s">
        <v>132</v>
      </c>
      <c r="D39" s="35" t="s">
        <v>24</v>
      </c>
      <c r="E39" s="34">
        <v>1</v>
      </c>
      <c r="F39" s="34">
        <v>1</v>
      </c>
      <c r="G39" s="34">
        <v>0</v>
      </c>
      <c r="H39" s="34"/>
      <c r="I39" s="34"/>
      <c r="J39" s="34"/>
    </row>
    <row r="40" spans="1:30" x14ac:dyDescent="0.2">
      <c r="A40" s="35" t="s">
        <v>136</v>
      </c>
      <c r="B40" s="34">
        <v>5</v>
      </c>
      <c r="C40" t="s">
        <v>132</v>
      </c>
      <c r="D40" s="35" t="s">
        <v>24</v>
      </c>
      <c r="E40" s="34">
        <v>3</v>
      </c>
      <c r="F40" s="34">
        <v>3</v>
      </c>
      <c r="G40" s="34">
        <v>3</v>
      </c>
      <c r="H40" s="34">
        <v>2</v>
      </c>
      <c r="I40" s="34">
        <v>1</v>
      </c>
      <c r="J40" s="34">
        <v>0</v>
      </c>
      <c r="AC40" s="2" t="str">
        <f t="shared" si="4"/>
        <v/>
      </c>
      <c r="AD40" s="2" t="str">
        <f t="shared" si="4"/>
        <v/>
      </c>
    </row>
    <row r="41" spans="1:30" x14ac:dyDescent="0.2">
      <c r="A41" s="35" t="s">
        <v>137</v>
      </c>
      <c r="B41" s="34">
        <v>5</v>
      </c>
      <c r="C41" t="s">
        <v>120</v>
      </c>
      <c r="D41" s="35" t="s">
        <v>24</v>
      </c>
      <c r="E41" s="34">
        <v>1</v>
      </c>
      <c r="F41" s="34">
        <v>1</v>
      </c>
      <c r="G41" s="34">
        <v>1</v>
      </c>
      <c r="H41" s="34">
        <v>1</v>
      </c>
      <c r="I41" s="34">
        <v>0</v>
      </c>
      <c r="J41" s="34">
        <v>0</v>
      </c>
      <c r="AC41" s="2" t="str">
        <f t="shared" si="4"/>
        <v/>
      </c>
      <c r="AD41" s="2" t="str">
        <f t="shared" si="4"/>
        <v/>
      </c>
    </row>
    <row r="42" spans="1:30" x14ac:dyDescent="0.2">
      <c r="A42" s="35" t="s">
        <v>160</v>
      </c>
      <c r="C42" t="s">
        <v>132</v>
      </c>
      <c r="D42" s="35" t="s">
        <v>28</v>
      </c>
      <c r="E42" s="2">
        <v>3</v>
      </c>
      <c r="F42" s="2">
        <v>3</v>
      </c>
      <c r="G42" s="2">
        <v>3</v>
      </c>
      <c r="H42" s="2">
        <v>2</v>
      </c>
      <c r="I42" s="2">
        <v>1</v>
      </c>
      <c r="J42" s="34">
        <v>1</v>
      </c>
      <c r="AC42" s="2" t="str">
        <f t="shared" si="4"/>
        <v/>
      </c>
      <c r="AD42" s="2" t="str">
        <f t="shared" si="4"/>
        <v/>
      </c>
    </row>
    <row r="43" spans="1:30" x14ac:dyDescent="0.2">
      <c r="A43" s="35" t="s">
        <v>166</v>
      </c>
      <c r="C43" t="s">
        <v>132</v>
      </c>
      <c r="D43" t="s">
        <v>156</v>
      </c>
      <c r="E43" s="2">
        <v>1</v>
      </c>
      <c r="F43" s="2">
        <f t="shared" ref="F43:F50" si="5">IF(OR(F$14="",$E43=""),"",E43)</f>
        <v>1</v>
      </c>
      <c r="G43" s="2">
        <v>1</v>
      </c>
      <c r="H43" s="2">
        <v>1</v>
      </c>
      <c r="I43" s="2">
        <v>0</v>
      </c>
      <c r="J43" s="2">
        <v>0</v>
      </c>
      <c r="AC43" s="2" t="str">
        <f t="shared" si="4"/>
        <v/>
      </c>
      <c r="AD43" s="2" t="str">
        <f t="shared" si="4"/>
        <v/>
      </c>
    </row>
    <row r="44" spans="1:30" x14ac:dyDescent="0.2">
      <c r="D44" t="str">
        <f t="shared" ref="D43:D48" si="6">IF(A44&lt;&gt;"","Planned","")</f>
        <v/>
      </c>
      <c r="F44" s="2" t="str">
        <f t="shared" si="5"/>
        <v/>
      </c>
      <c r="AC44" s="2" t="str">
        <f t="shared" si="4"/>
        <v/>
      </c>
      <c r="AD44" s="2" t="str">
        <f t="shared" si="4"/>
        <v/>
      </c>
    </row>
    <row r="45" spans="1:30" x14ac:dyDescent="0.2">
      <c r="D45" t="str">
        <f t="shared" si="6"/>
        <v/>
      </c>
      <c r="F45" s="2" t="str">
        <f t="shared" si="5"/>
        <v/>
      </c>
      <c r="AC45" s="2" t="str">
        <f t="shared" si="4"/>
        <v/>
      </c>
      <c r="AD45" s="2" t="str">
        <f t="shared" si="4"/>
        <v/>
      </c>
    </row>
    <row r="46" spans="1:30" x14ac:dyDescent="0.2">
      <c r="D46" t="str">
        <f t="shared" si="6"/>
        <v/>
      </c>
      <c r="F46" s="2" t="str">
        <f t="shared" si="5"/>
        <v/>
      </c>
      <c r="AC46" s="2" t="str">
        <f t="shared" si="4"/>
        <v/>
      </c>
      <c r="AD46" s="2" t="str">
        <f t="shared" si="4"/>
        <v/>
      </c>
    </row>
    <row r="47" spans="1:30" x14ac:dyDescent="0.2">
      <c r="D47" t="str">
        <f t="shared" si="6"/>
        <v/>
      </c>
      <c r="F47" s="2" t="str">
        <f t="shared" si="5"/>
        <v/>
      </c>
      <c r="G47" s="2" t="str">
        <f t="shared" ref="G47:AB47" si="7">IF(OR(G$14="",$E47=""),"",F47)</f>
        <v/>
      </c>
      <c r="H47" s="2" t="str">
        <f t="shared" si="7"/>
        <v/>
      </c>
      <c r="I47" s="2" t="str">
        <f t="shared" si="7"/>
        <v/>
      </c>
      <c r="J47" s="2" t="str">
        <f t="shared" si="7"/>
        <v/>
      </c>
      <c r="K47" s="2" t="str">
        <f t="shared" si="7"/>
        <v/>
      </c>
      <c r="L47" s="2" t="str">
        <f t="shared" si="7"/>
        <v/>
      </c>
      <c r="M47" s="2" t="str">
        <f t="shared" si="7"/>
        <v/>
      </c>
      <c r="N47" s="2" t="str">
        <f t="shared" si="7"/>
        <v/>
      </c>
      <c r="O47" s="2" t="str">
        <f t="shared" si="7"/>
        <v/>
      </c>
      <c r="P47" s="2" t="str">
        <f t="shared" si="7"/>
        <v/>
      </c>
      <c r="Q47" s="2" t="str">
        <f t="shared" si="7"/>
        <v/>
      </c>
      <c r="R47" s="2" t="str">
        <f t="shared" si="7"/>
        <v/>
      </c>
      <c r="S47" s="2" t="str">
        <f t="shared" si="7"/>
        <v/>
      </c>
      <c r="T47" s="2" t="str">
        <f t="shared" si="7"/>
        <v/>
      </c>
      <c r="U47" s="2" t="str">
        <f t="shared" si="7"/>
        <v/>
      </c>
      <c r="V47" s="2" t="str">
        <f t="shared" si="7"/>
        <v/>
      </c>
      <c r="W47" s="2" t="str">
        <f t="shared" si="7"/>
        <v/>
      </c>
      <c r="X47" s="2" t="str">
        <f t="shared" si="7"/>
        <v/>
      </c>
      <c r="Y47" s="2" t="str">
        <f t="shared" si="7"/>
        <v/>
      </c>
      <c r="Z47" s="2" t="str">
        <f t="shared" si="7"/>
        <v/>
      </c>
      <c r="AA47" s="2" t="str">
        <f t="shared" si="7"/>
        <v/>
      </c>
      <c r="AB47" s="2" t="str">
        <f t="shared" si="7"/>
        <v/>
      </c>
      <c r="AC47" s="2" t="str">
        <f t="shared" si="4"/>
        <v/>
      </c>
      <c r="AD47" s="2" t="str">
        <f t="shared" si="4"/>
        <v/>
      </c>
    </row>
    <row r="48" spans="1:30" x14ac:dyDescent="0.2">
      <c r="D48" t="str">
        <f t="shared" si="6"/>
        <v/>
      </c>
      <c r="F48" s="2" t="str">
        <f t="shared" si="5"/>
        <v/>
      </c>
      <c r="G48" s="2" t="str">
        <f t="shared" ref="G48:AB48" si="8">IF(OR(G$14="",$E48=""),"",F48)</f>
        <v/>
      </c>
      <c r="H48" s="2" t="str">
        <f t="shared" si="8"/>
        <v/>
      </c>
      <c r="I48" s="2" t="str">
        <f t="shared" si="8"/>
        <v/>
      </c>
      <c r="J48" s="2" t="str">
        <f t="shared" si="8"/>
        <v/>
      </c>
      <c r="K48" s="2" t="str">
        <f t="shared" si="8"/>
        <v/>
      </c>
      <c r="L48" s="2" t="str">
        <f t="shared" si="8"/>
        <v/>
      </c>
      <c r="M48" s="2" t="str">
        <f t="shared" si="8"/>
        <v/>
      </c>
      <c r="N48" s="2" t="str">
        <f t="shared" si="8"/>
        <v/>
      </c>
      <c r="O48" s="2" t="str">
        <f t="shared" si="8"/>
        <v/>
      </c>
      <c r="P48" s="2" t="str">
        <f t="shared" si="8"/>
        <v/>
      </c>
      <c r="Q48" s="2" t="str">
        <f t="shared" si="8"/>
        <v/>
      </c>
      <c r="R48" s="2" t="str">
        <f t="shared" si="8"/>
        <v/>
      </c>
      <c r="S48" s="2" t="str">
        <f t="shared" si="8"/>
        <v/>
      </c>
      <c r="T48" s="2" t="str">
        <f t="shared" si="8"/>
        <v/>
      </c>
      <c r="U48" s="2" t="str">
        <f t="shared" si="8"/>
        <v/>
      </c>
      <c r="V48" s="2" t="str">
        <f t="shared" si="8"/>
        <v/>
      </c>
      <c r="W48" s="2" t="str">
        <f t="shared" si="8"/>
        <v/>
      </c>
      <c r="X48" s="2" t="str">
        <f t="shared" si="8"/>
        <v/>
      </c>
      <c r="Y48" s="2" t="str">
        <f t="shared" si="8"/>
        <v/>
      </c>
      <c r="Z48" s="2" t="str">
        <f t="shared" si="8"/>
        <v/>
      </c>
      <c r="AA48" s="2" t="str">
        <f t="shared" si="8"/>
        <v/>
      </c>
      <c r="AB48" s="2" t="str">
        <f t="shared" si="8"/>
        <v/>
      </c>
      <c r="AC48" s="2" t="str">
        <f t="shared" si="4"/>
        <v/>
      </c>
      <c r="AD48" s="2" t="str">
        <f t="shared" si="4"/>
        <v/>
      </c>
    </row>
    <row r="49" spans="1:30" x14ac:dyDescent="0.2">
      <c r="E49" s="2">
        <v>0</v>
      </c>
      <c r="F49" s="2">
        <f t="shared" si="5"/>
        <v>0</v>
      </c>
    </row>
    <row r="50" spans="1:30" x14ac:dyDescent="0.2">
      <c r="E50" s="2">
        <v>0</v>
      </c>
      <c r="F50" s="2">
        <f t="shared" si="5"/>
        <v>0</v>
      </c>
      <c r="AC50" s="2" t="str">
        <f t="shared" ref="AC50:AD72" si="9">IF(OR(AC$14="",$E50=""),"",AB50)</f>
        <v/>
      </c>
      <c r="AD50" s="2" t="str">
        <f t="shared" si="9"/>
        <v/>
      </c>
    </row>
    <row r="51" spans="1:30" x14ac:dyDescent="0.2">
      <c r="AC51" s="2" t="str">
        <f t="shared" si="9"/>
        <v/>
      </c>
      <c r="AD51" s="2" t="str">
        <f t="shared" si="9"/>
        <v/>
      </c>
    </row>
    <row r="52" spans="1:30" x14ac:dyDescent="0.2">
      <c r="AC52" s="2" t="str">
        <f t="shared" si="9"/>
        <v/>
      </c>
      <c r="AD52" s="2" t="str">
        <f t="shared" si="9"/>
        <v/>
      </c>
    </row>
    <row r="53" spans="1:30" x14ac:dyDescent="0.2">
      <c r="AC53" s="2" t="str">
        <f t="shared" si="9"/>
        <v/>
      </c>
      <c r="AD53" s="2" t="str">
        <f t="shared" si="9"/>
        <v/>
      </c>
    </row>
    <row r="54" spans="1:30" x14ac:dyDescent="0.2">
      <c r="AC54" s="2" t="str">
        <f t="shared" si="9"/>
        <v/>
      </c>
      <c r="AD54" s="2" t="str">
        <f t="shared" si="9"/>
        <v/>
      </c>
    </row>
    <row r="55" spans="1:30" x14ac:dyDescent="0.2">
      <c r="D55" s="35"/>
      <c r="E55" s="34"/>
      <c r="AC55" s="2" t="str">
        <f t="shared" si="9"/>
        <v/>
      </c>
      <c r="AD55" s="2" t="str">
        <f t="shared" si="9"/>
        <v/>
      </c>
    </row>
    <row r="56" spans="1:30" x14ac:dyDescent="0.2">
      <c r="A56" s="35"/>
      <c r="B56" s="34"/>
      <c r="D56" s="35"/>
      <c r="E56" s="34"/>
      <c r="AC56" s="2" t="str">
        <f t="shared" si="9"/>
        <v/>
      </c>
      <c r="AD56" s="2" t="str">
        <f t="shared" si="9"/>
        <v/>
      </c>
    </row>
    <row r="57" spans="1:30" x14ac:dyDescent="0.2">
      <c r="A57" s="35"/>
      <c r="B57" s="34"/>
      <c r="D57" s="35"/>
      <c r="E57" s="34"/>
      <c r="AC57" s="2" t="str">
        <f t="shared" si="9"/>
        <v/>
      </c>
      <c r="AD57" s="2" t="str">
        <f t="shared" si="9"/>
        <v/>
      </c>
    </row>
    <row r="58" spans="1:30" x14ac:dyDescent="0.2">
      <c r="A58" s="35"/>
      <c r="B58" s="34"/>
      <c r="D58" s="35"/>
      <c r="E58" s="34"/>
      <c r="AC58" s="2" t="str">
        <f t="shared" si="9"/>
        <v/>
      </c>
      <c r="AD58" s="2" t="str">
        <f t="shared" si="9"/>
        <v/>
      </c>
    </row>
    <row r="59" spans="1:30" x14ac:dyDescent="0.2">
      <c r="A59" s="35"/>
      <c r="B59" s="34"/>
      <c r="D59" s="35"/>
      <c r="E59" s="34"/>
      <c r="AC59" s="2" t="str">
        <f t="shared" si="9"/>
        <v/>
      </c>
      <c r="AD59" s="2" t="str">
        <f t="shared" si="9"/>
        <v/>
      </c>
    </row>
    <row r="60" spans="1:30" x14ac:dyDescent="0.2">
      <c r="AC60" s="2" t="str">
        <f t="shared" si="9"/>
        <v/>
      </c>
      <c r="AD60" s="2" t="str">
        <f t="shared" si="9"/>
        <v/>
      </c>
    </row>
    <row r="61" spans="1:30" x14ac:dyDescent="0.2">
      <c r="AC61" s="2" t="str">
        <f t="shared" si="9"/>
        <v/>
      </c>
      <c r="AD61" s="2" t="str">
        <f t="shared" si="9"/>
        <v/>
      </c>
    </row>
    <row r="62" spans="1:30" x14ac:dyDescent="0.2">
      <c r="AC62" s="2" t="str">
        <f t="shared" si="9"/>
        <v/>
      </c>
      <c r="AD62" s="2" t="str">
        <f t="shared" si="9"/>
        <v/>
      </c>
    </row>
    <row r="63" spans="1:30" x14ac:dyDescent="0.2">
      <c r="AC63" s="2" t="str">
        <f t="shared" si="9"/>
        <v/>
      </c>
      <c r="AD63" s="2" t="str">
        <f t="shared" si="9"/>
        <v/>
      </c>
    </row>
    <row r="64" spans="1:30" x14ac:dyDescent="0.2">
      <c r="AC64" s="2" t="str">
        <f t="shared" si="9"/>
        <v/>
      </c>
      <c r="AD64" s="2" t="str">
        <f t="shared" si="9"/>
        <v/>
      </c>
    </row>
    <row r="65" spans="4:30" x14ac:dyDescent="0.2">
      <c r="AC65" s="2" t="str">
        <f t="shared" si="9"/>
        <v/>
      </c>
      <c r="AD65" s="2" t="str">
        <f t="shared" si="9"/>
        <v/>
      </c>
    </row>
    <row r="66" spans="4:30" x14ac:dyDescent="0.2">
      <c r="AC66" s="2" t="str">
        <f t="shared" si="9"/>
        <v/>
      </c>
      <c r="AD66" s="2" t="str">
        <f t="shared" si="9"/>
        <v/>
      </c>
    </row>
    <row r="67" spans="4:30" x14ac:dyDescent="0.2">
      <c r="AC67" s="2" t="str">
        <f t="shared" si="9"/>
        <v/>
      </c>
      <c r="AD67" s="2" t="str">
        <f t="shared" si="9"/>
        <v/>
      </c>
    </row>
    <row r="68" spans="4:30" x14ac:dyDescent="0.2">
      <c r="AC68" s="2" t="str">
        <f t="shared" si="9"/>
        <v/>
      </c>
      <c r="AD68" s="2" t="str">
        <f t="shared" si="9"/>
        <v/>
      </c>
    </row>
    <row r="69" spans="4:30" x14ac:dyDescent="0.2">
      <c r="AC69" s="2" t="str">
        <f t="shared" si="9"/>
        <v/>
      </c>
      <c r="AD69" s="2" t="str">
        <f t="shared" si="9"/>
        <v/>
      </c>
    </row>
    <row r="70" spans="4:30" x14ac:dyDescent="0.2">
      <c r="AC70" s="2" t="str">
        <f t="shared" si="9"/>
        <v/>
      </c>
      <c r="AD70" s="2" t="str">
        <f t="shared" si="9"/>
        <v/>
      </c>
    </row>
    <row r="71" spans="4:30" x14ac:dyDescent="0.2">
      <c r="AC71" s="2" t="str">
        <f t="shared" si="9"/>
        <v/>
      </c>
      <c r="AD71" s="2" t="str">
        <f t="shared" si="9"/>
        <v/>
      </c>
    </row>
    <row r="72" spans="4:30" x14ac:dyDescent="0.2">
      <c r="AC72" s="2" t="str">
        <f t="shared" si="9"/>
        <v/>
      </c>
      <c r="AD72" s="2" t="str">
        <f t="shared" si="9"/>
        <v/>
      </c>
    </row>
    <row r="77" spans="4:30" x14ac:dyDescent="0.2">
      <c r="D77" t="str">
        <f>IF(A77&lt;&gt;"","Planned","")</f>
        <v/>
      </c>
    </row>
  </sheetData>
  <conditionalFormatting sqref="A37:AD71 B34:C36 A35:A36 A28:C33 D28:AD36 A15:AD27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4">
    <cfRule type="expression" dxfId="11" priority="122" stopIfTrue="1">
      <formula>$D35="Done"</formula>
    </cfRule>
    <cfRule type="expression" dxfId="10" priority="123" stopIfTrue="1">
      <formula>$D35="Ongoing"</formula>
    </cfRule>
  </conditionalFormatting>
  <dataValidations count="1">
    <dataValidation type="list" allowBlank="1" showInputMessage="1" sqref="D3:D8 D15:D77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2020-02-21T20:09:14Z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